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d5af47fe4fca55/Desktop/"/>
    </mc:Choice>
  </mc:AlternateContent>
  <xr:revisionPtr revIDLastSave="2" documentId="8_{8A013CC6-EAE3-4023-839F-B674E0EF4CFE}" xr6:coauthVersionLast="47" xr6:coauthVersionMax="47" xr10:uidLastSave="{5F5DE984-EBD7-4460-BBC7-49970FCD519B}"/>
  <bookViews>
    <workbookView xWindow="-108" yWindow="-108" windowWidth="23256" windowHeight="12456" xr2:uid="{9D85981C-BDFB-4569-BF21-0867A99CDFE4}"/>
  </bookViews>
  <sheets>
    <sheet name="Daily Tracker" sheetId="1" r:id="rId1"/>
    <sheet name="Dashboard" sheetId="3" r:id="rId2"/>
    <sheet name="KPI Formul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R5" i="4"/>
  <c r="C68" i="1"/>
  <c r="N4" i="4"/>
  <c r="N3" i="4"/>
  <c r="N2" i="4"/>
  <c r="D1" i="4"/>
  <c r="D4" i="4"/>
  <c r="D3" i="4"/>
  <c r="D2" i="4"/>
  <c r="A15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2" i="1"/>
  <c r="N12" i="4" l="1"/>
  <c r="N8" i="4"/>
  <c r="N11" i="4"/>
  <c r="N10" i="4"/>
  <c r="N9" i="4"/>
  <c r="N7" i="4"/>
  <c r="N6" i="4"/>
  <c r="N5" i="4"/>
  <c r="R2" i="4"/>
  <c r="H2" i="4"/>
  <c r="H3" i="4"/>
  <c r="H4" i="4"/>
  <c r="H5" i="4"/>
  <c r="H6" i="4"/>
  <c r="A9" i="4"/>
  <c r="R4" i="4" s="1"/>
  <c r="A3" i="4"/>
  <c r="R3" i="4" s="1"/>
  <c r="A12" i="4"/>
  <c r="A6" i="4"/>
</calcChain>
</file>

<file path=xl/sharedStrings.xml><?xml version="1.0" encoding="utf-8"?>
<sst xmlns="http://schemas.openxmlformats.org/spreadsheetml/2006/main" count="38" uniqueCount="36">
  <si>
    <t>Date</t>
  </si>
  <si>
    <t>Day</t>
  </si>
  <si>
    <t>Reading</t>
  </si>
  <si>
    <t>Technical</t>
  </si>
  <si>
    <t xml:space="preserve">10K Steps </t>
  </si>
  <si>
    <t>Hyderation</t>
  </si>
  <si>
    <t>Daily Score</t>
  </si>
  <si>
    <t>NOTES</t>
  </si>
  <si>
    <t xml:space="preserve">CURRENT DAY </t>
  </si>
  <si>
    <t>CONSISTENT DAYS</t>
  </si>
  <si>
    <t>AVERAGE DAILY SCCORE</t>
  </si>
  <si>
    <t>COMPLETION%</t>
  </si>
  <si>
    <t>Steps</t>
  </si>
  <si>
    <t>Teachinal</t>
  </si>
  <si>
    <t>Score</t>
  </si>
  <si>
    <t>Count</t>
  </si>
  <si>
    <t>week</t>
  </si>
  <si>
    <t>avg score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</si>
  <si>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</si>
  <si>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</si>
  <si>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</si>
  <si>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</si>
  <si>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</si>
  <si>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</si>
  <si>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</si>
  <si>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</si>
  <si>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</si>
  <si>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</si>
  <si>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</si>
  <si>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Insight</t>
  </si>
  <si>
    <t>Value</t>
  </si>
  <si>
    <t>Best Habit</t>
  </si>
  <si>
    <t>Status</t>
  </si>
  <si>
    <t>Performance</t>
  </si>
  <si>
    <t>Progress</t>
  </si>
  <si>
    <r>
      <t xml:space="preserve">                                                                75 DAYS CHALLENGE DASHBOARD                                                         
</t>
    </r>
    <r>
      <rPr>
        <b/>
        <sz val="16"/>
        <color theme="4" tint="0.59999389629810485"/>
        <rFont val="Segoe UI Black"/>
        <family val="2"/>
      </rPr>
      <t xml:space="preserve">                                                                                                                               Track • Analyze • Improve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</si>
</sst>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Segoe UI Black"/>
      <family val="2"/>
    </font>
    <font>
      <b/>
      <sz val="16"/>
      <color theme="4" tint="0.59999389629810485"/>
      <name val="Segoe UI Black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8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3" borderId="0" xfId="0" applyFill="1" applyAlignment="1">
      <alignment vertical="center"/>
    </xf>
    <xf numFmtId="10" fontId="0" fillId="0" borderId="0" xfId="1" applyNumberFormat="1" applyFont="1"/>
    <xf numFmtId="2" fontId="0" fillId="0" borderId="0" xfId="1" applyNumberFormat="1" applyFont="1"/>
    <xf numFmtId="0" fontId="2" fillId="2" borderId="0" xfId="0" applyFont="1" applyFill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14">
    <dxf>
      <fill>
        <patternFill>
          <bgColor rgb="FFFFFF99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99CC"/>
        </patternFill>
      </fill>
    </dxf>
    <dxf>
      <fill>
        <patternFill>
          <bgColor rgb="FF00CCFF"/>
        </patternFill>
      </fill>
    </dxf>
    <dxf>
      <fill>
        <patternFill>
          <bgColor rgb="FF33CCFF"/>
        </patternFill>
      </fill>
    </dxf>
    <dxf>
      <fill>
        <patternFill>
          <bgColor rgb="FFCCECFF"/>
        </patternFill>
      </fill>
    </dxf>
    <dxf>
      <fill>
        <patternFill>
          <bgColor theme="9" tint="0.39994506668294322"/>
        </patternFill>
      </fill>
    </dxf>
    <dxf>
      <fill>
        <patternFill>
          <bgColor rgb="FFFF9900"/>
        </patternFill>
      </fill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1F3889"/>
      <color rgb="FFCCCCFF"/>
      <color rgb="FF9999FF"/>
      <color rgb="FF9966FF"/>
      <color rgb="FFFDD7F4"/>
      <color rgb="FFFFABFF"/>
      <color rgb="FFCCFFFF"/>
      <color rgb="FF66FFFF"/>
      <color rgb="FFEAF2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 Performance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2571675181560176E-2"/>
          <c:y val="0.13461117717341425"/>
          <c:w val="0.8636967248134938"/>
          <c:h val="0.66835047231224398"/>
        </c:manualLayout>
      </c:layout>
      <c:lineChart>
        <c:grouping val="standard"/>
        <c:varyColors val="0"/>
        <c:ser>
          <c:idx val="1"/>
          <c:order val="0"/>
          <c:tx>
            <c:strRef>
              <c:f>'Daily Tracker'!$G$1</c:f>
              <c:strCache>
                <c:ptCount val="1"/>
                <c:pt idx="0">
                  <c:v>Daily Score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'Daily Tracker'!$G$2:$G$76</c:f>
              <c:numCache>
                <c:formatCode>General</c:formatCode>
                <c:ptCount val="75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1</c:v>
                </c:pt>
                <c:pt idx="26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4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3</c:v>
                </c:pt>
                <c:pt idx="68">
                  <c:v>4</c:v>
                </c:pt>
                <c:pt idx="69">
                  <c:v>3</c:v>
                </c:pt>
                <c:pt idx="70">
                  <c:v>4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89-4DC5-987B-26ECAAF64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427936"/>
        <c:axId val="1511423136"/>
      </c:lineChart>
      <c:catAx>
        <c:axId val="151142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23136"/>
        <c:crosses val="autoZero"/>
        <c:auto val="1"/>
        <c:lblAlgn val="ctr"/>
        <c:lblOffset val="100"/>
        <c:noMultiLvlLbl val="0"/>
      </c:catAx>
      <c:valAx>
        <c:axId val="151142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2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9200429454679198"/>
          <c:y val="0.90400029650212499"/>
          <c:w val="0.15410831669224764"/>
          <c:h val="7.2872197723394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F388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Habits Completion Comparision</a:t>
            </a:r>
          </a:p>
        </c:rich>
      </c:tx>
      <c:layout>
        <c:manualLayout>
          <c:xMode val="edge"/>
          <c:yMode val="edge"/>
          <c:x val="0.23574300087489064"/>
          <c:y val="1.30272933763564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Formulas'!$C$1</c:f>
              <c:strCache>
                <c:ptCount val="1"/>
                <c:pt idx="0">
                  <c:v>Reading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val>
            <c:numRef>
              <c:f>'KPI Formulas'!$D$1</c:f>
              <c:numCache>
                <c:formatCode>General</c:formatCode>
                <c:ptCount val="1"/>
                <c:pt idx="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D-43F0-B600-FBCA6126E8F0}"/>
            </c:ext>
          </c:extLst>
        </c:ser>
        <c:ser>
          <c:idx val="1"/>
          <c:order val="1"/>
          <c:tx>
            <c:strRef>
              <c:f>'KPI Formulas'!$C$2</c:f>
              <c:strCache>
                <c:ptCount val="1"/>
                <c:pt idx="0">
                  <c:v>Teachinal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'KPI Formulas'!$D$2</c:f>
              <c:numCache>
                <c:formatCode>General</c:formatCode>
                <c:ptCount val="1"/>
                <c:pt idx="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4D-43F0-B600-FBCA6126E8F0}"/>
            </c:ext>
          </c:extLst>
        </c:ser>
        <c:ser>
          <c:idx val="2"/>
          <c:order val="2"/>
          <c:tx>
            <c:strRef>
              <c:f>'KPI Formulas'!$C$3</c:f>
              <c:strCache>
                <c:ptCount val="1"/>
                <c:pt idx="0">
                  <c:v>Steps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val>
            <c:numRef>
              <c:f>'KPI Formulas'!$D$3</c:f>
              <c:numCache>
                <c:formatCode>General</c:formatCode>
                <c:ptCount val="1"/>
                <c:pt idx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4D-43F0-B600-FBCA6126E8F0}"/>
            </c:ext>
          </c:extLst>
        </c:ser>
        <c:ser>
          <c:idx val="3"/>
          <c:order val="3"/>
          <c:tx>
            <c:strRef>
              <c:f>'KPI Formulas'!$C$4</c:f>
              <c:strCache>
                <c:ptCount val="1"/>
                <c:pt idx="0">
                  <c:v>Hyderation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val>
            <c:numRef>
              <c:f>'KPI Formulas'!$D$4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4D-43F0-B600-FBCA6126E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475360"/>
        <c:axId val="1492475840"/>
      </c:barChart>
      <c:catAx>
        <c:axId val="149247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475840"/>
        <c:crosses val="autoZero"/>
        <c:auto val="1"/>
        <c:lblAlgn val="ctr"/>
        <c:lblOffset val="100"/>
        <c:noMultiLvlLbl val="0"/>
      </c:catAx>
      <c:valAx>
        <c:axId val="149247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47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F388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n>
            <a:noFill/>
          </a:ln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Habits Completion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20-49B3-BCE5-DED445AF1C45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20-49B3-BCE5-DED445AF1C45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20-49B3-BCE5-DED445AF1C45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20-49B3-BCE5-DED445AF1C45}"/>
              </c:ext>
            </c:extLst>
          </c:dPt>
          <c:dLbls>
            <c:delete val="1"/>
          </c:dLbls>
          <c:cat>
            <c:strRef>
              <c:f>'KPI Formulas'!$C$1:$C$4</c:f>
              <c:strCache>
                <c:ptCount val="4"/>
                <c:pt idx="0">
                  <c:v>Reading</c:v>
                </c:pt>
                <c:pt idx="1">
                  <c:v>Teachinal</c:v>
                </c:pt>
                <c:pt idx="2">
                  <c:v>Steps</c:v>
                </c:pt>
                <c:pt idx="3">
                  <c:v>Hyderation</c:v>
                </c:pt>
              </c:strCache>
            </c:strRef>
          </c:cat>
          <c:val>
            <c:numRef>
              <c:f>'KPI Formulas'!$D$1:$D$4</c:f>
              <c:numCache>
                <c:formatCode>General</c:formatCode>
                <c:ptCount val="4"/>
                <c:pt idx="0">
                  <c:v>63</c:v>
                </c:pt>
                <c:pt idx="1">
                  <c:v>67</c:v>
                </c:pt>
                <c:pt idx="2">
                  <c:v>54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20-49B3-BCE5-DED445AF1C4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F388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Weekly Average Score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394375344902483E-2"/>
          <c:y val="0.18986061897625814"/>
          <c:w val="0.89552144834957126"/>
          <c:h val="0.65408377680061114"/>
        </c:manualLayout>
      </c:layout>
      <c:lineChart>
        <c:grouping val="standard"/>
        <c:varyColors val="0"/>
        <c:ser>
          <c:idx val="0"/>
          <c:order val="0"/>
          <c:tx>
            <c:strRef>
              <c:f>'KPI Formulas'!$N$1</c:f>
              <c:strCache>
                <c:ptCount val="1"/>
                <c:pt idx="0">
                  <c:v>avg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'KPI Formulas'!$M$2:$M$12</c:f>
              <c:strCache>
                <c:ptCount val="11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  <c:pt idx="8">
                  <c:v>week9</c:v>
                </c:pt>
                <c:pt idx="9">
                  <c:v>week10</c:v>
                </c:pt>
                <c:pt idx="10">
                  <c:v>week11</c:v>
                </c:pt>
              </c:strCache>
            </c:strRef>
          </c:cat>
          <c:val>
            <c:numRef>
              <c:f>'KPI Formulas'!$N$2:$N$12</c:f>
              <c:numCache>
                <c:formatCode>General</c:formatCode>
                <c:ptCount val="11"/>
                <c:pt idx="0">
                  <c:v>2.5714285714285716</c:v>
                </c:pt>
                <c:pt idx="1">
                  <c:v>2.7142857142857144</c:v>
                </c:pt>
                <c:pt idx="2">
                  <c:v>3</c:v>
                </c:pt>
                <c:pt idx="3">
                  <c:v>2.875</c:v>
                </c:pt>
                <c:pt idx="4">
                  <c:v>3.1428571428571428</c:v>
                </c:pt>
                <c:pt idx="5">
                  <c:v>2.2857142857142856</c:v>
                </c:pt>
                <c:pt idx="6">
                  <c:v>3.7142857142857144</c:v>
                </c:pt>
                <c:pt idx="7">
                  <c:v>3.75</c:v>
                </c:pt>
                <c:pt idx="8">
                  <c:v>3.7142857142857144</c:v>
                </c:pt>
                <c:pt idx="9">
                  <c:v>3.5714285714285716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C4-4D7E-B787-21C8621BE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710256"/>
        <c:axId val="1710710736"/>
      </c:lineChart>
      <c:catAx>
        <c:axId val="171071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710736"/>
        <c:crosses val="autoZero"/>
        <c:auto val="1"/>
        <c:lblAlgn val="ctr"/>
        <c:lblOffset val="100"/>
        <c:noMultiLvlLbl val="0"/>
      </c:catAx>
      <c:valAx>
        <c:axId val="171071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71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F388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Score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30131029139316"/>
          <c:y val="0.2024921907040855"/>
          <c:w val="0.66914134635911571"/>
          <c:h val="0.6910802885045314"/>
        </c:manualLayout>
      </c:layout>
      <c:doughnutChart>
        <c:varyColors val="1"/>
        <c:ser>
          <c:idx val="0"/>
          <c:order val="0"/>
          <c:tx>
            <c:strRef>
              <c:f>'KPI Formulas'!$H$1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77-4DE1-A95D-EAE430F18E7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77-4DE1-A95D-EAE430F18E7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77-4DE1-A95D-EAE430F18E7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77-4DE1-A95D-EAE430F18E7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1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777-4DE1-A95D-EAE430F18E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'KPI Formulas'!$G$2:$G$6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'KPI Formulas'!$H$2:$H$6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14</c:v>
                </c:pt>
                <c:pt idx="3">
                  <c:v>24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77-4DE1-A95D-EAE430F18E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F3889"/>
    </a:solidFill>
    <a:ln>
      <a:noFill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4.xml"/><Relationship Id="rId18" Type="http://schemas.openxmlformats.org/officeDocument/2006/relationships/image" Target="../media/image13.svg"/><Relationship Id="rId3" Type="http://schemas.openxmlformats.org/officeDocument/2006/relationships/image" Target="../media/image3.tmp"/><Relationship Id="rId21" Type="http://schemas.openxmlformats.org/officeDocument/2006/relationships/image" Target="../media/image16.png"/><Relationship Id="rId7" Type="http://schemas.openxmlformats.org/officeDocument/2006/relationships/image" Target="../media/image7.svg"/><Relationship Id="rId12" Type="http://schemas.openxmlformats.org/officeDocument/2006/relationships/chart" Target="../charts/chart3.xml"/><Relationship Id="rId17" Type="http://schemas.openxmlformats.org/officeDocument/2006/relationships/image" Target="../media/image12.png"/><Relationship Id="rId2" Type="http://schemas.openxmlformats.org/officeDocument/2006/relationships/image" Target="../media/image2.svg"/><Relationship Id="rId16" Type="http://schemas.openxmlformats.org/officeDocument/2006/relationships/image" Target="../media/image11.svg"/><Relationship Id="rId20" Type="http://schemas.openxmlformats.org/officeDocument/2006/relationships/image" Target="../media/image15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2.xml"/><Relationship Id="rId5" Type="http://schemas.openxmlformats.org/officeDocument/2006/relationships/image" Target="../media/image5.svg"/><Relationship Id="rId15" Type="http://schemas.openxmlformats.org/officeDocument/2006/relationships/image" Target="../media/image10.png"/><Relationship Id="rId10" Type="http://schemas.openxmlformats.org/officeDocument/2006/relationships/chart" Target="../charts/chart1.xml"/><Relationship Id="rId19" Type="http://schemas.openxmlformats.org/officeDocument/2006/relationships/image" Target="../media/image14.png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chart" Target="../charts/chart5.xml"/><Relationship Id="rId22" Type="http://schemas.openxmlformats.org/officeDocument/2006/relationships/image" Target="../media/image17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255506</xdr:colOff>
      <xdr:row>0</xdr:row>
      <xdr:rowOff>45720</xdr:rowOff>
    </xdr:from>
    <xdr:to>
      <xdr:col>2</xdr:col>
      <xdr:colOff>200659</xdr:colOff>
      <xdr:row>3</xdr:row>
      <xdr:rowOff>256540</xdr:rowOff>
    </xdr:to>
    <xdr:pic>
      <xdr:nvPicPr>
        <xdr:cNvPr id="4" name="Graphic 3" descr="Bar graph with upward trend with solid fill">
          <a:extLst>
            <a:ext uri="{FF2B5EF4-FFF2-40B4-BE49-F238E27FC236}">
              <a16:creationId xmlns:a16="http://schemas.microsoft.com/office/drawing/2014/main" id="{6C695BF1-12A1-74F8-25D2-835796DC1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4586" y="45720"/>
          <a:ext cx="1232933" cy="1033780"/>
        </a:xfrm>
        <a:prstGeom prst="rect">
          <a:avLst/>
        </a:prstGeom>
      </xdr:spPr>
    </xdr:pic>
    <xdr:clientData/>
  </xdr:twoCellAnchor>
  <xdr:twoCellAnchor>
    <xdr:from>
      <xdr:col>2</xdr:col>
      <xdr:colOff>137116</xdr:colOff>
      <xdr:row>5</xdr:row>
      <xdr:rowOff>93325</xdr:rowOff>
    </xdr:from>
    <xdr:to>
      <xdr:col>4</xdr:col>
      <xdr:colOff>249865</xdr:colOff>
      <xdr:row>9</xdr:row>
      <xdr:rowOff>167217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83B8AE9-87B8-D219-CDD5-8DFB121E8689}"/>
            </a:ext>
          </a:extLst>
        </xdr:cNvPr>
        <xdr:cNvSpPr/>
      </xdr:nvSpPr>
      <xdr:spPr>
        <a:xfrm>
          <a:off x="1673816" y="1490325"/>
          <a:ext cx="1865349" cy="1191492"/>
        </a:xfrm>
        <a:prstGeom prst="roundRect">
          <a:avLst/>
        </a:prstGeom>
        <a:solidFill>
          <a:srgbClr val="1F3889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bg1"/>
              </a:solidFill>
            </a:rPr>
            <a:t>CURRENT DAY</a:t>
          </a:r>
          <a:r>
            <a:rPr lang="en-IN" sz="1400" b="1" baseline="0">
              <a:solidFill>
                <a:schemeClr val="bg1"/>
              </a:solidFill>
            </a:rPr>
            <a:t>      </a:t>
          </a:r>
        </a:p>
        <a:p>
          <a:pPr algn="ctr"/>
          <a:endParaRPr lang="en-IN" sz="2000" b="1">
            <a:solidFill>
              <a:schemeClr val="bg1"/>
            </a:solidFill>
          </a:endParaRPr>
        </a:p>
        <a:p>
          <a:pPr algn="ctr"/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173272</xdr:colOff>
      <xdr:row>7</xdr:row>
      <xdr:rowOff>81319</xdr:rowOff>
    </xdr:from>
    <xdr:to>
      <xdr:col>4</xdr:col>
      <xdr:colOff>128968</xdr:colOff>
      <xdr:row>8</xdr:row>
      <xdr:rowOff>231947</xdr:rowOff>
    </xdr:to>
    <xdr:sp macro="" textlink="'KPI Formulas'!A3">
      <xdr:nvSpPr>
        <xdr:cNvPr id="8" name="Rectangle: Rounded Corners 7">
          <a:extLst>
            <a:ext uri="{FF2B5EF4-FFF2-40B4-BE49-F238E27FC236}">
              <a16:creationId xmlns:a16="http://schemas.microsoft.com/office/drawing/2014/main" id="{18610E56-9A2E-42E6-DCB2-71329DEBD795}"/>
            </a:ext>
          </a:extLst>
        </xdr:cNvPr>
        <xdr:cNvSpPr/>
      </xdr:nvSpPr>
      <xdr:spPr>
        <a:xfrm>
          <a:off x="2603205" y="1977852"/>
          <a:ext cx="836230" cy="421562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CD4ED1E-4E69-4A64-8A7D-F6F70C739562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75</a:t>
          </a:fld>
          <a:endParaRPr lang="en-IN" sz="2000" b="1"/>
        </a:p>
      </xdr:txBody>
    </xdr:sp>
    <xdr:clientData/>
  </xdr:twoCellAnchor>
  <xdr:twoCellAnchor>
    <xdr:from>
      <xdr:col>4</xdr:col>
      <xdr:colOff>699473</xdr:colOff>
      <xdr:row>5</xdr:row>
      <xdr:rowOff>93325</xdr:rowOff>
    </xdr:from>
    <xdr:to>
      <xdr:col>6</xdr:col>
      <xdr:colOff>751187</xdr:colOff>
      <xdr:row>9</xdr:row>
      <xdr:rowOff>159404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941F1F0-FEC6-E5C5-0F38-5C29EDA10019}"/>
            </a:ext>
          </a:extLst>
        </xdr:cNvPr>
        <xdr:cNvSpPr/>
      </xdr:nvSpPr>
      <xdr:spPr>
        <a:xfrm>
          <a:off x="3988773" y="1490325"/>
          <a:ext cx="1804314" cy="1183679"/>
        </a:xfrm>
        <a:prstGeom prst="roundRect">
          <a:avLst/>
        </a:prstGeom>
        <a:solidFill>
          <a:srgbClr val="1F3889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CONSISTENT</a:t>
          </a:r>
        </a:p>
        <a:p>
          <a:pPr algn="ctr"/>
          <a:r>
            <a:rPr lang="en-IN" sz="1400" b="1" baseline="0"/>
            <a:t> DAYS  </a:t>
          </a:r>
        </a:p>
        <a:p>
          <a:pPr algn="ctr"/>
          <a:r>
            <a:rPr lang="en-IN" sz="1400" b="1" baseline="0"/>
            <a:t>  </a:t>
          </a:r>
        </a:p>
      </xdr:txBody>
    </xdr:sp>
    <xdr:clientData/>
  </xdr:twoCellAnchor>
  <xdr:twoCellAnchor>
    <xdr:from>
      <xdr:col>5</xdr:col>
      <xdr:colOff>547381</xdr:colOff>
      <xdr:row>7</xdr:row>
      <xdr:rowOff>128969</xdr:rowOff>
    </xdr:from>
    <xdr:to>
      <xdr:col>6</xdr:col>
      <xdr:colOff>565102</xdr:colOff>
      <xdr:row>8</xdr:row>
      <xdr:rowOff>246292</xdr:rowOff>
    </xdr:to>
    <xdr:sp macro="" textlink="'KPI Formulas'!A6">
      <xdr:nvSpPr>
        <xdr:cNvPr id="10" name="Rectangle: Rounded Corners 9">
          <a:extLst>
            <a:ext uri="{FF2B5EF4-FFF2-40B4-BE49-F238E27FC236}">
              <a16:creationId xmlns:a16="http://schemas.microsoft.com/office/drawing/2014/main" id="{D7CE1318-CA31-66CB-DE48-0D173379214E}"/>
            </a:ext>
          </a:extLst>
        </xdr:cNvPr>
        <xdr:cNvSpPr/>
      </xdr:nvSpPr>
      <xdr:spPr>
        <a:xfrm>
          <a:off x="4738381" y="2025502"/>
          <a:ext cx="898254" cy="38825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D5FA7342-4BD5-4EDB-85A2-C18EC01E8617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33</a:t>
          </a:fld>
          <a:endParaRPr lang="en-IN" sz="1100"/>
        </a:p>
      </xdr:txBody>
    </xdr:sp>
    <xdr:clientData/>
  </xdr:twoCellAnchor>
  <xdr:twoCellAnchor>
    <xdr:from>
      <xdr:col>7</xdr:col>
      <xdr:colOff>324495</xdr:colOff>
      <xdr:row>5</xdr:row>
      <xdr:rowOff>93325</xdr:rowOff>
    </xdr:from>
    <xdr:to>
      <xdr:col>9</xdr:col>
      <xdr:colOff>459419</xdr:colOff>
      <xdr:row>9</xdr:row>
      <xdr:rowOff>150343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C19CC8B-5E00-6796-1815-B3139F0B6F02}"/>
            </a:ext>
          </a:extLst>
        </xdr:cNvPr>
        <xdr:cNvSpPr/>
      </xdr:nvSpPr>
      <xdr:spPr>
        <a:xfrm>
          <a:off x="6242695" y="1490325"/>
          <a:ext cx="1887524" cy="1174618"/>
        </a:xfrm>
        <a:prstGeom prst="roundRect">
          <a:avLst/>
        </a:prstGeom>
        <a:solidFill>
          <a:srgbClr val="1F3889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bg1"/>
              </a:solidFill>
            </a:rPr>
            <a:t>AVERAGE DAILY SCORE</a:t>
          </a:r>
        </a:p>
      </xdr:txBody>
    </xdr:sp>
    <xdr:clientData/>
  </xdr:twoCellAnchor>
  <xdr:twoCellAnchor>
    <xdr:from>
      <xdr:col>8</xdr:col>
      <xdr:colOff>373321</xdr:colOff>
      <xdr:row>7</xdr:row>
      <xdr:rowOff>104725</xdr:rowOff>
    </xdr:from>
    <xdr:to>
      <xdr:col>9</xdr:col>
      <xdr:colOff>293577</xdr:colOff>
      <xdr:row>8</xdr:row>
      <xdr:rowOff>261636</xdr:rowOff>
    </xdr:to>
    <xdr:sp macro="" textlink="'KPI Formulas'!A9">
      <xdr:nvSpPr>
        <xdr:cNvPr id="12" name="Rectangle: Rounded Corners 11">
          <a:extLst>
            <a:ext uri="{FF2B5EF4-FFF2-40B4-BE49-F238E27FC236}">
              <a16:creationId xmlns:a16="http://schemas.microsoft.com/office/drawing/2014/main" id="{195587A6-E82B-8E8D-2073-69727BBB58B8}"/>
            </a:ext>
          </a:extLst>
        </xdr:cNvPr>
        <xdr:cNvSpPr/>
      </xdr:nvSpPr>
      <xdr:spPr>
        <a:xfrm>
          <a:off x="7205921" y="2001258"/>
          <a:ext cx="800789" cy="42784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BA91BB9B-113C-4EC5-829E-1CB4F13A1B7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3.15</a:t>
          </a:fld>
          <a:endParaRPr lang="en-IN" sz="1100"/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11</xdr:col>
      <xdr:colOff>200891</xdr:colOff>
      <xdr:row>5</xdr:row>
      <xdr:rowOff>13855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88B551F-2E88-48F5-ABA6-1D992DFB23B0}"/>
            </a:ext>
          </a:extLst>
        </xdr:cNvPr>
        <xdr:cNvCxnSpPr/>
      </xdr:nvCxnSpPr>
      <xdr:spPr>
        <a:xfrm>
          <a:off x="1544782" y="1385455"/>
          <a:ext cx="8118764" cy="138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32727</xdr:colOff>
      <xdr:row>5</xdr:row>
      <xdr:rowOff>93325</xdr:rowOff>
    </xdr:from>
    <xdr:to>
      <xdr:col>12</xdr:col>
      <xdr:colOff>227728</xdr:colOff>
      <xdr:row>9</xdr:row>
      <xdr:rowOff>139288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67226BA-5D87-D794-E4C6-E7661AD50EE6}"/>
            </a:ext>
          </a:extLst>
        </xdr:cNvPr>
        <xdr:cNvSpPr/>
      </xdr:nvSpPr>
      <xdr:spPr>
        <a:xfrm>
          <a:off x="8579827" y="1490325"/>
          <a:ext cx="1947601" cy="1163563"/>
        </a:xfrm>
        <a:prstGeom prst="roundRect">
          <a:avLst/>
        </a:prstGeom>
        <a:solidFill>
          <a:srgbClr val="1F3889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COMPLETION</a:t>
          </a:r>
          <a:r>
            <a:rPr lang="en-IN" sz="1400" b="1" baseline="0"/>
            <a:t> </a:t>
          </a:r>
        </a:p>
        <a:p>
          <a:pPr algn="ctr"/>
          <a:r>
            <a:rPr lang="en-IN" sz="1400" b="1" baseline="0"/>
            <a:t>       </a:t>
          </a:r>
          <a:r>
            <a:rPr lang="en-IN" sz="1400" b="1"/>
            <a:t>%</a:t>
          </a:r>
        </a:p>
      </xdr:txBody>
    </xdr:sp>
    <xdr:clientData/>
  </xdr:twoCellAnchor>
  <xdr:twoCellAnchor>
    <xdr:from>
      <xdr:col>11</xdr:col>
      <xdr:colOff>83480</xdr:colOff>
      <xdr:row>7</xdr:row>
      <xdr:rowOff>110765</xdr:rowOff>
    </xdr:from>
    <xdr:to>
      <xdr:col>11</xdr:col>
      <xdr:colOff>864189</xdr:colOff>
      <xdr:row>8</xdr:row>
      <xdr:rowOff>247547</xdr:rowOff>
    </xdr:to>
    <xdr:sp macro="" textlink="'KPI Formulas'!A12">
      <xdr:nvSpPr>
        <xdr:cNvPr id="21" name="Rectangle: Rounded Corners 20">
          <a:extLst>
            <a:ext uri="{FF2B5EF4-FFF2-40B4-BE49-F238E27FC236}">
              <a16:creationId xmlns:a16="http://schemas.microsoft.com/office/drawing/2014/main" id="{9CBF861A-D2C9-27EB-4226-3451103877D6}"/>
            </a:ext>
          </a:extLst>
        </xdr:cNvPr>
        <xdr:cNvSpPr/>
      </xdr:nvSpPr>
      <xdr:spPr>
        <a:xfrm>
          <a:off x="9557680" y="2007298"/>
          <a:ext cx="780709" cy="40771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24AAD0DD-1A26-4936-97F3-E5617C54893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78.67%</a:t>
          </a:fld>
          <a:endParaRPr lang="en-IN" sz="1100"/>
        </a:p>
      </xdr:txBody>
    </xdr:sp>
    <xdr:clientData/>
  </xdr:twoCellAnchor>
  <xdr:twoCellAnchor>
    <xdr:from>
      <xdr:col>15</xdr:col>
      <xdr:colOff>212007</xdr:colOff>
      <xdr:row>0</xdr:row>
      <xdr:rowOff>135806</xdr:rowOff>
    </xdr:from>
    <xdr:to>
      <xdr:col>17</xdr:col>
      <xdr:colOff>108098</xdr:colOff>
      <xdr:row>4</xdr:row>
      <xdr:rowOff>59606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EC73B816-8CCC-5924-4EE9-56A9E8D562D4}"/>
            </a:ext>
          </a:extLst>
        </xdr:cNvPr>
        <xdr:cNvSpPr/>
      </xdr:nvSpPr>
      <xdr:spPr>
        <a:xfrm>
          <a:off x="13157147" y="135806"/>
          <a:ext cx="1650463" cy="1022498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rgbClr val="1F3889"/>
              </a:solidFill>
            </a:rPr>
            <a:t>LAST</a:t>
          </a:r>
          <a:r>
            <a:rPr lang="en-IN" sz="1100" b="1" baseline="0">
              <a:solidFill>
                <a:srgbClr val="1F3889"/>
              </a:solidFill>
            </a:rPr>
            <a:t> UPDATED</a:t>
          </a:r>
          <a:endParaRPr lang="en-IN" sz="1100" b="1">
            <a:solidFill>
              <a:srgbClr val="1F3889"/>
            </a:solidFill>
          </a:endParaRPr>
        </a:p>
      </xdr:txBody>
    </xdr:sp>
    <xdr:clientData/>
  </xdr:twoCellAnchor>
  <xdr:twoCellAnchor editAs="oneCell">
    <xdr:from>
      <xdr:col>15</xdr:col>
      <xdr:colOff>320588</xdr:colOff>
      <xdr:row>2</xdr:row>
      <xdr:rowOff>25936</xdr:rowOff>
    </xdr:from>
    <xdr:to>
      <xdr:col>15</xdr:col>
      <xdr:colOff>683802</xdr:colOff>
      <xdr:row>3</xdr:row>
      <xdr:rowOff>135083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601A111-102E-30AF-799F-DFB57EAD2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65728" y="575285"/>
          <a:ext cx="363214" cy="383821"/>
        </a:xfrm>
        <a:prstGeom prst="rect">
          <a:avLst/>
        </a:prstGeom>
      </xdr:spPr>
    </xdr:pic>
    <xdr:clientData/>
  </xdr:twoCellAnchor>
  <xdr:twoCellAnchor>
    <xdr:from>
      <xdr:col>15</xdr:col>
      <xdr:colOff>861075</xdr:colOff>
      <xdr:row>1</xdr:row>
      <xdr:rowOff>262107</xdr:rowOff>
    </xdr:from>
    <xdr:to>
      <xdr:col>17</xdr:col>
      <xdr:colOff>39307</xdr:colOff>
      <xdr:row>3</xdr:row>
      <xdr:rowOff>262107</xdr:rowOff>
    </xdr:to>
    <xdr:sp macro="" textlink="'KPI Formulas'!A15">
      <xdr:nvSpPr>
        <xdr:cNvPr id="28" name="Rectangle: Rounded Corners 27">
          <a:extLst>
            <a:ext uri="{FF2B5EF4-FFF2-40B4-BE49-F238E27FC236}">
              <a16:creationId xmlns:a16="http://schemas.microsoft.com/office/drawing/2014/main" id="{E6D4A10A-987D-0C36-BA7D-9BBB1B727BBB}"/>
            </a:ext>
          </a:extLst>
        </xdr:cNvPr>
        <xdr:cNvSpPr/>
      </xdr:nvSpPr>
      <xdr:spPr>
        <a:xfrm>
          <a:off x="13806215" y="536781"/>
          <a:ext cx="932604" cy="549349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3101FC10-C8BE-47B3-9E86-1096F259E57B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25-06-2026</a:t>
          </a:fld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10</xdr:col>
      <xdr:colOff>48896</xdr:colOff>
      <xdr:row>6</xdr:row>
      <xdr:rowOff>268853</xdr:rowOff>
    </xdr:from>
    <xdr:to>
      <xdr:col>10</xdr:col>
      <xdr:colOff>603848</xdr:colOff>
      <xdr:row>9</xdr:row>
      <xdr:rowOff>25629</xdr:rowOff>
    </xdr:to>
    <xdr:pic>
      <xdr:nvPicPr>
        <xdr:cNvPr id="30" name="Graphic 29" descr="Bullseye with solid fill">
          <a:extLst>
            <a:ext uri="{FF2B5EF4-FFF2-40B4-BE49-F238E27FC236}">
              <a16:creationId xmlns:a16="http://schemas.microsoft.com/office/drawing/2014/main" id="{B7FD1ED4-A31C-E3DF-A6D6-C89390A81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642563" y="1894453"/>
          <a:ext cx="554952" cy="569576"/>
        </a:xfrm>
        <a:prstGeom prst="rect">
          <a:avLst/>
        </a:prstGeom>
      </xdr:spPr>
    </xdr:pic>
    <xdr:clientData/>
  </xdr:twoCellAnchor>
  <xdr:twoCellAnchor editAs="oneCell">
    <xdr:from>
      <xdr:col>7</xdr:col>
      <xdr:colOff>242258</xdr:colOff>
      <xdr:row>7</xdr:row>
      <xdr:rowOff>76796</xdr:rowOff>
    </xdr:from>
    <xdr:to>
      <xdr:col>8</xdr:col>
      <xdr:colOff>143132</xdr:colOff>
      <xdr:row>9</xdr:row>
      <xdr:rowOff>97577</xdr:rowOff>
    </xdr:to>
    <xdr:pic>
      <xdr:nvPicPr>
        <xdr:cNvPr id="34" name="Graphic 33" descr="Bar chart with solid fill">
          <a:extLst>
            <a:ext uri="{FF2B5EF4-FFF2-40B4-BE49-F238E27FC236}">
              <a16:creationId xmlns:a16="http://schemas.microsoft.com/office/drawing/2014/main" id="{6DE8BAB9-53F0-AFAD-F424-A04FE3EC4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194325" y="1973329"/>
          <a:ext cx="781407" cy="562648"/>
        </a:xfrm>
        <a:prstGeom prst="rect">
          <a:avLst/>
        </a:prstGeom>
      </xdr:spPr>
    </xdr:pic>
    <xdr:clientData/>
  </xdr:twoCellAnchor>
  <xdr:twoCellAnchor editAs="oneCell">
    <xdr:from>
      <xdr:col>4</xdr:col>
      <xdr:colOff>639834</xdr:colOff>
      <xdr:row>7</xdr:row>
      <xdr:rowOff>43524</xdr:rowOff>
    </xdr:from>
    <xdr:to>
      <xdr:col>5</xdr:col>
      <xdr:colOff>432016</xdr:colOff>
      <xdr:row>9</xdr:row>
      <xdr:rowOff>85087</xdr:rowOff>
    </xdr:to>
    <xdr:pic>
      <xdr:nvPicPr>
        <xdr:cNvPr id="36" name="Graphic 35" descr="Checklist with solid fill">
          <a:extLst>
            <a:ext uri="{FF2B5EF4-FFF2-40B4-BE49-F238E27FC236}">
              <a16:creationId xmlns:a16="http://schemas.microsoft.com/office/drawing/2014/main" id="{DD058F63-0CBA-12A9-41AC-E4D7DA051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950301" y="1940057"/>
          <a:ext cx="672715" cy="583430"/>
        </a:xfrm>
        <a:prstGeom prst="rect">
          <a:avLst/>
        </a:prstGeom>
      </xdr:spPr>
    </xdr:pic>
    <xdr:clientData/>
  </xdr:twoCellAnchor>
  <xdr:twoCellAnchor editAs="oneCell">
    <xdr:from>
      <xdr:col>2</xdr:col>
      <xdr:colOff>315245</xdr:colOff>
      <xdr:row>7</xdr:row>
      <xdr:rowOff>61466</xdr:rowOff>
    </xdr:from>
    <xdr:to>
      <xdr:col>2</xdr:col>
      <xdr:colOff>779539</xdr:colOff>
      <xdr:row>9</xdr:row>
      <xdr:rowOff>420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5F7AE0B-B8A3-4F7D-83E6-7EDEF1F99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4645" y="1957999"/>
          <a:ext cx="464294" cy="480821"/>
        </a:xfrm>
        <a:prstGeom prst="rect">
          <a:avLst/>
        </a:prstGeom>
        <a:ln>
          <a:solidFill>
            <a:srgbClr val="1F3889"/>
          </a:solidFill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</xdr:col>
      <xdr:colOff>1210951</xdr:colOff>
      <xdr:row>10</xdr:row>
      <xdr:rowOff>19956</xdr:rowOff>
    </xdr:from>
    <xdr:to>
      <xdr:col>8</xdr:col>
      <xdr:colOff>522514</xdr:colOff>
      <xdr:row>20</xdr:row>
      <xdr:rowOff>239485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1EAB299F-B572-4A09-B18E-A68F8F854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338670</xdr:colOff>
      <xdr:row>10</xdr:row>
      <xdr:rowOff>111622</xdr:rowOff>
    </xdr:from>
    <xdr:to>
      <xdr:col>14</xdr:col>
      <xdr:colOff>244765</xdr:colOff>
      <xdr:row>20</xdr:row>
      <xdr:rowOff>246302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49AE8E-DF4E-41E2-905D-F1DF6FCE5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303701</xdr:colOff>
      <xdr:row>21</xdr:row>
      <xdr:rowOff>160867</xdr:rowOff>
    </xdr:from>
    <xdr:to>
      <xdr:col>14</xdr:col>
      <xdr:colOff>330200</xdr:colOff>
      <xdr:row>30</xdr:row>
      <xdr:rowOff>257150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A5E5AA-DEB4-4B54-A41A-F25ED1366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1169189</xdr:colOff>
      <xdr:row>21</xdr:row>
      <xdr:rowOff>210359</xdr:rowOff>
    </xdr:from>
    <xdr:to>
      <xdr:col>8</xdr:col>
      <xdr:colOff>520700</xdr:colOff>
      <xdr:row>31</xdr:row>
      <xdr:rowOff>86311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BD0AAD-871F-45BE-AF25-391CFD839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751114</xdr:colOff>
      <xdr:row>10</xdr:row>
      <xdr:rowOff>141514</xdr:rowOff>
    </xdr:from>
    <xdr:to>
      <xdr:col>18</xdr:col>
      <xdr:colOff>617063</xdr:colOff>
      <xdr:row>20</xdr:row>
      <xdr:rowOff>221673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012308-720C-4BFA-AA2C-8A68F1525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127000</xdr:colOff>
      <xdr:row>5</xdr:row>
      <xdr:rowOff>101601</xdr:rowOff>
    </xdr:from>
    <xdr:to>
      <xdr:col>1</xdr:col>
      <xdr:colOff>1049866</xdr:colOff>
      <xdr:row>10</xdr:row>
      <xdr:rowOff>14627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FC75D8D-1A9E-4F83-AC6A-9F901BD9D90A}"/>
            </a:ext>
          </a:extLst>
        </xdr:cNvPr>
        <xdr:cNvSpPr/>
      </xdr:nvSpPr>
      <xdr:spPr>
        <a:xfrm>
          <a:off x="127000" y="1498601"/>
          <a:ext cx="1176866" cy="1310026"/>
        </a:xfrm>
        <a:prstGeom prst="roundRect">
          <a:avLst/>
        </a:prstGeom>
        <a:solidFill>
          <a:srgbClr val="1F3889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IN" sz="1400" b="1" baseline="0">
              <a:solidFill>
                <a:schemeClr val="bg1"/>
              </a:solidFill>
            </a:rPr>
            <a:t>BEST    HABITS      </a:t>
          </a:r>
        </a:p>
        <a:p>
          <a:pPr algn="ctr"/>
          <a:endParaRPr lang="en-IN" sz="2000" b="1">
            <a:solidFill>
              <a:schemeClr val="bg1"/>
            </a:solidFill>
          </a:endParaRPr>
        </a:p>
        <a:p>
          <a:pPr algn="ctr"/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127000</xdr:colOff>
      <xdr:row>10</xdr:row>
      <xdr:rowOff>270629</xdr:rowOff>
    </xdr:from>
    <xdr:to>
      <xdr:col>1</xdr:col>
      <xdr:colOff>1041399</xdr:colOff>
      <xdr:row>15</xdr:row>
      <xdr:rowOff>100447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0CE42D8-F605-43DE-9D79-2249836F612F}"/>
            </a:ext>
          </a:extLst>
        </xdr:cNvPr>
        <xdr:cNvSpPr/>
      </xdr:nvSpPr>
      <xdr:spPr>
        <a:xfrm>
          <a:off x="127000" y="3041538"/>
          <a:ext cx="1177635" cy="1215273"/>
        </a:xfrm>
        <a:prstGeom prst="roundRect">
          <a:avLst/>
        </a:prstGeom>
        <a:solidFill>
          <a:srgbClr val="1F3889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IN" sz="1400" b="1" baseline="0">
              <a:solidFill>
                <a:schemeClr val="bg1"/>
              </a:solidFill>
            </a:rPr>
            <a:t>   STATUS      </a:t>
          </a:r>
        </a:p>
        <a:p>
          <a:pPr algn="ctr"/>
          <a:endParaRPr lang="en-IN" sz="2000" b="1">
            <a:solidFill>
              <a:schemeClr val="bg1"/>
            </a:solidFill>
          </a:endParaRPr>
        </a:p>
        <a:p>
          <a:pPr algn="ctr"/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127000</xdr:colOff>
      <xdr:row>16</xdr:row>
      <xdr:rowOff>84668</xdr:rowOff>
    </xdr:from>
    <xdr:to>
      <xdr:col>1</xdr:col>
      <xdr:colOff>1049866</xdr:colOff>
      <xdr:row>21</xdr:row>
      <xdr:rowOff>40026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DAB5AE3D-472B-44A8-B409-0AE086C35CBD}"/>
            </a:ext>
          </a:extLst>
        </xdr:cNvPr>
        <xdr:cNvSpPr/>
      </xdr:nvSpPr>
      <xdr:spPr>
        <a:xfrm>
          <a:off x="127000" y="4518123"/>
          <a:ext cx="1186102" cy="1340812"/>
        </a:xfrm>
        <a:prstGeom prst="roundRect">
          <a:avLst/>
        </a:prstGeom>
        <a:solidFill>
          <a:srgbClr val="1F3889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IN" sz="1400" b="1" baseline="0">
              <a:solidFill>
                <a:schemeClr val="bg1"/>
              </a:solidFill>
            </a:rPr>
            <a:t>PROGRESS      </a:t>
          </a:r>
        </a:p>
        <a:p>
          <a:pPr algn="ctr"/>
          <a:endParaRPr lang="en-IN" sz="2000" b="1">
            <a:solidFill>
              <a:schemeClr val="bg1"/>
            </a:solidFill>
          </a:endParaRPr>
        </a:p>
        <a:p>
          <a:pPr algn="ctr"/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677334</xdr:colOff>
      <xdr:row>5</xdr:row>
      <xdr:rowOff>93325</xdr:rowOff>
    </xdr:from>
    <xdr:to>
      <xdr:col>14</xdr:col>
      <xdr:colOff>790083</xdr:colOff>
      <xdr:row>9</xdr:row>
      <xdr:rowOff>167217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FD46231C-1A45-4C32-8E7A-D080F1F1CF35}"/>
            </a:ext>
          </a:extLst>
        </xdr:cNvPr>
        <xdr:cNvSpPr/>
      </xdr:nvSpPr>
      <xdr:spPr>
        <a:xfrm>
          <a:off x="10977034" y="1490325"/>
          <a:ext cx="1865349" cy="1191492"/>
        </a:xfrm>
        <a:prstGeom prst="roundRect">
          <a:avLst/>
        </a:prstGeom>
        <a:solidFill>
          <a:srgbClr val="1F3889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 baseline="0">
              <a:solidFill>
                <a:schemeClr val="bg1"/>
              </a:solidFill>
            </a:rPr>
            <a:t>PERFORMANCE      </a:t>
          </a:r>
        </a:p>
        <a:p>
          <a:pPr algn="ctr"/>
          <a:endParaRPr lang="en-IN" sz="2000" b="1">
            <a:solidFill>
              <a:schemeClr val="bg1"/>
            </a:solidFill>
          </a:endParaRPr>
        </a:p>
        <a:p>
          <a:pPr algn="ctr"/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118534</xdr:colOff>
      <xdr:row>5</xdr:row>
      <xdr:rowOff>135464</xdr:rowOff>
    </xdr:from>
    <xdr:to>
      <xdr:col>1</xdr:col>
      <xdr:colOff>397934</xdr:colOff>
      <xdr:row>7</xdr:row>
      <xdr:rowOff>135465</xdr:rowOff>
    </xdr:to>
    <xdr:pic>
      <xdr:nvPicPr>
        <xdr:cNvPr id="24" name="Graphic 23" descr="Ribbon with solid fill">
          <a:extLst>
            <a:ext uri="{FF2B5EF4-FFF2-40B4-BE49-F238E27FC236}">
              <a16:creationId xmlns:a16="http://schemas.microsoft.com/office/drawing/2014/main" id="{488F16A0-5E54-0E77-B4B1-D09BCB925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18534" y="1490131"/>
          <a:ext cx="541867" cy="541867"/>
        </a:xfrm>
        <a:prstGeom prst="rect">
          <a:avLst/>
        </a:prstGeom>
      </xdr:spPr>
    </xdr:pic>
    <xdr:clientData/>
  </xdr:twoCellAnchor>
  <xdr:twoCellAnchor>
    <xdr:from>
      <xdr:col>1</xdr:col>
      <xdr:colOff>50799</xdr:colOff>
      <xdr:row>7</xdr:row>
      <xdr:rowOff>228601</xdr:rowOff>
    </xdr:from>
    <xdr:to>
      <xdr:col>1</xdr:col>
      <xdr:colOff>863599</xdr:colOff>
      <xdr:row>9</xdr:row>
      <xdr:rowOff>135467</xdr:rowOff>
    </xdr:to>
    <xdr:sp macro="" textlink="'KPI Formulas'!R2">
      <xdr:nvSpPr>
        <xdr:cNvPr id="25" name="Rectangle: Rounded Corners 24">
          <a:extLst>
            <a:ext uri="{FF2B5EF4-FFF2-40B4-BE49-F238E27FC236}">
              <a16:creationId xmlns:a16="http://schemas.microsoft.com/office/drawing/2014/main" id="{861AC72D-5285-FA85-8E9E-154066F77065}"/>
            </a:ext>
          </a:extLst>
        </xdr:cNvPr>
        <xdr:cNvSpPr/>
      </xdr:nvSpPr>
      <xdr:spPr>
        <a:xfrm>
          <a:off x="313266" y="2125134"/>
          <a:ext cx="812800" cy="44873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0CC890B-3B15-42B9-B3B4-3742D4B2F6B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Teachinal</a:t>
          </a:fld>
          <a:endParaRPr lang="en-IN" sz="1100"/>
        </a:p>
      </xdr:txBody>
    </xdr:sp>
    <xdr:clientData/>
  </xdr:twoCellAnchor>
  <xdr:twoCellAnchor editAs="oneCell">
    <xdr:from>
      <xdr:col>0</xdr:col>
      <xdr:colOff>200891</xdr:colOff>
      <xdr:row>11</xdr:row>
      <xdr:rowOff>73891</xdr:rowOff>
    </xdr:from>
    <xdr:to>
      <xdr:col>1</xdr:col>
      <xdr:colOff>319424</xdr:colOff>
      <xdr:row>12</xdr:row>
      <xdr:rowOff>190115</xdr:rowOff>
    </xdr:to>
    <xdr:pic>
      <xdr:nvPicPr>
        <xdr:cNvPr id="29" name="Graphic 28" descr="Hourglass Finished with solid fill">
          <a:extLst>
            <a:ext uri="{FF2B5EF4-FFF2-40B4-BE49-F238E27FC236}">
              <a16:creationId xmlns:a16="http://schemas.microsoft.com/office/drawing/2014/main" id="{B779418D-1400-FD6B-726E-56C9AC3BD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00891" y="3121891"/>
          <a:ext cx="381769" cy="393315"/>
        </a:xfrm>
        <a:prstGeom prst="rect">
          <a:avLst/>
        </a:prstGeom>
      </xdr:spPr>
    </xdr:pic>
    <xdr:clientData/>
  </xdr:twoCellAnchor>
  <xdr:twoCellAnchor>
    <xdr:from>
      <xdr:col>1</xdr:col>
      <xdr:colOff>16932</xdr:colOff>
      <xdr:row>12</xdr:row>
      <xdr:rowOff>211667</xdr:rowOff>
    </xdr:from>
    <xdr:to>
      <xdr:col>1</xdr:col>
      <xdr:colOff>965199</xdr:colOff>
      <xdr:row>14</xdr:row>
      <xdr:rowOff>250371</xdr:rowOff>
    </xdr:to>
    <xdr:sp macro="" textlink="'KPI Formulas'!R3">
      <xdr:nvSpPr>
        <xdr:cNvPr id="31" name="Rectangle: Rounded Corners 30">
          <a:extLst>
            <a:ext uri="{FF2B5EF4-FFF2-40B4-BE49-F238E27FC236}">
              <a16:creationId xmlns:a16="http://schemas.microsoft.com/office/drawing/2014/main" id="{C8C00E69-C9BF-5523-2B5B-6C5AD19A01C7}"/>
            </a:ext>
          </a:extLst>
        </xdr:cNvPr>
        <xdr:cNvSpPr/>
      </xdr:nvSpPr>
      <xdr:spPr>
        <a:xfrm>
          <a:off x="278189" y="3477381"/>
          <a:ext cx="948267" cy="58299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56B23F5-DA05-4793-8EC0-A7F85F444B70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Challenge Complete</a:t>
          </a:fld>
          <a:endParaRPr lang="en-IN" sz="1100"/>
        </a:p>
      </xdr:txBody>
    </xdr:sp>
    <xdr:clientData/>
  </xdr:twoCellAnchor>
  <xdr:twoCellAnchor editAs="oneCell">
    <xdr:from>
      <xdr:col>0</xdr:col>
      <xdr:colOff>147013</xdr:colOff>
      <xdr:row>16</xdr:row>
      <xdr:rowOff>174723</xdr:rowOff>
    </xdr:from>
    <xdr:to>
      <xdr:col>1</xdr:col>
      <xdr:colOff>214745</xdr:colOff>
      <xdr:row>17</xdr:row>
      <xdr:rowOff>233988</xdr:rowOff>
    </xdr:to>
    <xdr:pic>
      <xdr:nvPicPr>
        <xdr:cNvPr id="33" name="Graphic 32" descr="Research with solid fill">
          <a:extLst>
            <a:ext uri="{FF2B5EF4-FFF2-40B4-BE49-F238E27FC236}">
              <a16:creationId xmlns:a16="http://schemas.microsoft.com/office/drawing/2014/main" id="{557B3252-2185-2A46-5A57-69A22BB4D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47013" y="4608178"/>
          <a:ext cx="330968" cy="336355"/>
        </a:xfrm>
        <a:prstGeom prst="rect">
          <a:avLst/>
        </a:prstGeom>
      </xdr:spPr>
    </xdr:pic>
    <xdr:clientData/>
  </xdr:twoCellAnchor>
  <xdr:twoCellAnchor>
    <xdr:from>
      <xdr:col>1</xdr:col>
      <xdr:colOff>93133</xdr:colOff>
      <xdr:row>18</xdr:row>
      <xdr:rowOff>67733</xdr:rowOff>
    </xdr:from>
    <xdr:to>
      <xdr:col>1</xdr:col>
      <xdr:colOff>897466</xdr:colOff>
      <xdr:row>20</xdr:row>
      <xdr:rowOff>67733</xdr:rowOff>
    </xdr:to>
    <xdr:sp macro="" textlink="'KPI Formulas'!R3">
      <xdr:nvSpPr>
        <xdr:cNvPr id="35" name="Rectangle: Rounded Corners 34">
          <a:extLst>
            <a:ext uri="{FF2B5EF4-FFF2-40B4-BE49-F238E27FC236}">
              <a16:creationId xmlns:a16="http://schemas.microsoft.com/office/drawing/2014/main" id="{E510771E-C90B-2609-5946-E11F85DC3B27}"/>
            </a:ext>
          </a:extLst>
        </xdr:cNvPr>
        <xdr:cNvSpPr/>
      </xdr:nvSpPr>
      <xdr:spPr>
        <a:xfrm>
          <a:off x="355600" y="4944533"/>
          <a:ext cx="804333" cy="54186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E1832A95-8101-4DFB-A3B5-C488BAB5BA4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Challenge Complete</a:t>
          </a:fld>
          <a:endParaRPr lang="en-IN" sz="1100"/>
        </a:p>
      </xdr:txBody>
    </xdr:sp>
    <xdr:clientData/>
  </xdr:twoCellAnchor>
  <xdr:twoCellAnchor editAs="oneCell">
    <xdr:from>
      <xdr:col>12</xdr:col>
      <xdr:colOff>660401</xdr:colOff>
      <xdr:row>6</xdr:row>
      <xdr:rowOff>152399</xdr:rowOff>
    </xdr:from>
    <xdr:to>
      <xdr:col>13</xdr:col>
      <xdr:colOff>550333</xdr:colOff>
      <xdr:row>9</xdr:row>
      <xdr:rowOff>16932</xdr:rowOff>
    </xdr:to>
    <xdr:pic>
      <xdr:nvPicPr>
        <xdr:cNvPr id="38" name="Graphic 37" descr="Upward trend with solid fill">
          <a:extLst>
            <a:ext uri="{FF2B5EF4-FFF2-40B4-BE49-F238E27FC236}">
              <a16:creationId xmlns:a16="http://schemas.microsoft.com/office/drawing/2014/main" id="{FEAAD26B-7483-C389-3043-669928868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015134" y="1777999"/>
          <a:ext cx="770466" cy="677333"/>
        </a:xfrm>
        <a:prstGeom prst="rect">
          <a:avLst/>
        </a:prstGeom>
      </xdr:spPr>
    </xdr:pic>
    <xdr:clientData/>
  </xdr:twoCellAnchor>
  <xdr:twoCellAnchor>
    <xdr:from>
      <xdr:col>13</xdr:col>
      <xdr:colOff>529636</xdr:colOff>
      <xdr:row>7</xdr:row>
      <xdr:rowOff>45156</xdr:rowOff>
    </xdr:from>
    <xdr:to>
      <xdr:col>14</xdr:col>
      <xdr:colOff>705555</xdr:colOff>
      <xdr:row>8</xdr:row>
      <xdr:rowOff>248356</xdr:rowOff>
    </xdr:to>
    <xdr:sp macro="" textlink="'KPI Formulas'!R4">
      <xdr:nvSpPr>
        <xdr:cNvPr id="41" name="Rectangle: Rounded Corners 40">
          <a:extLst>
            <a:ext uri="{FF2B5EF4-FFF2-40B4-BE49-F238E27FC236}">
              <a16:creationId xmlns:a16="http://schemas.microsoft.com/office/drawing/2014/main" id="{C5940B7E-EBA4-62DB-461F-651EB58CE502}"/>
            </a:ext>
          </a:extLst>
        </xdr:cNvPr>
        <xdr:cNvSpPr/>
      </xdr:nvSpPr>
      <xdr:spPr>
        <a:xfrm>
          <a:off x="11705636" y="1954860"/>
          <a:ext cx="1050808" cy="47601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CFA210C-8D62-4CBA-BA83-D23BB9F09420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Outstanding</a:t>
          </a:fld>
          <a:endParaRPr lang="en-IN" sz="1100"/>
        </a:p>
      </xdr:txBody>
    </xdr:sp>
    <xdr:clientData/>
  </xdr:twoCellAnchor>
  <xdr:twoCellAnchor>
    <xdr:from>
      <xdr:col>14</xdr:col>
      <xdr:colOff>736600</xdr:colOff>
      <xdr:row>21</xdr:row>
      <xdr:rowOff>203200</xdr:rowOff>
    </xdr:from>
    <xdr:to>
      <xdr:col>19</xdr:col>
      <xdr:colOff>228600</xdr:colOff>
      <xdr:row>30</xdr:row>
      <xdr:rowOff>254000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8DCCC0A-2D0A-17A0-4B91-8AE9DFE83B9D}"/>
            </a:ext>
          </a:extLst>
        </xdr:cNvPr>
        <xdr:cNvSpPr txBox="1"/>
      </xdr:nvSpPr>
      <xdr:spPr>
        <a:xfrm>
          <a:off x="12788900" y="6070600"/>
          <a:ext cx="3873500" cy="2565400"/>
        </a:xfrm>
        <a:prstGeom prst="rect">
          <a:avLst/>
        </a:prstGeom>
        <a:solidFill>
          <a:srgbClr val="1F388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/>
            <a:t>"</a:t>
          </a:r>
          <a:r>
            <a:rPr lang="en-IN" sz="1600" i="1">
              <a:solidFill>
                <a:schemeClr val="bg1"/>
              </a:solidFill>
            </a:rPr>
            <a:t>The data reflects more than completed tasks</a:t>
          </a:r>
          <a:r>
            <a:rPr lang="en-IN" sz="1600" i="1" baseline="0">
              <a:solidFill>
                <a:schemeClr val="bg1"/>
              </a:solidFill>
            </a:rPr>
            <a:t> </a:t>
          </a:r>
          <a:r>
            <a:rPr lang="en-IN" sz="1600" i="1">
              <a:solidFill>
                <a:schemeClr val="bg1"/>
              </a:solidFill>
            </a:rPr>
            <a:t>it</a:t>
          </a:r>
          <a:r>
            <a:rPr lang="en-IN" sz="1600" i="1" baseline="0">
              <a:solidFill>
                <a:schemeClr val="bg1"/>
              </a:solidFill>
            </a:rPr>
            <a:t> </a:t>
          </a:r>
          <a:r>
            <a:rPr lang="en-IN" sz="1600" i="1">
              <a:solidFill>
                <a:schemeClr val="bg1"/>
              </a:solidFill>
            </a:rPr>
            <a:t>represents 75 days of discipline, learning, and</a:t>
          </a:r>
          <a:br>
            <a:rPr lang="en-IN" sz="1600" i="1">
              <a:solidFill>
                <a:schemeClr val="bg1"/>
              </a:solidFill>
            </a:rPr>
          </a:br>
          <a:r>
            <a:rPr lang="en-IN" sz="1600" i="1">
              <a:solidFill>
                <a:schemeClr val="bg1"/>
              </a:solidFill>
            </a:rPr>
            <a:t>continuous improvement."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4C84-A5CE-4E50-B66B-E72443BEDB8C}">
  <dimension ref="A1:H77"/>
  <sheetViews>
    <sheetView tabSelected="1" topLeftCell="A71" workbookViewId="0">
      <selection activeCell="A3" sqref="A3"/>
    </sheetView>
  </sheetViews>
  <sheetFormatPr defaultRowHeight="14.4" x14ac:dyDescent="0.3"/>
  <cols>
    <col min="1" max="1" width="10.33203125" bestFit="1" customWidth="1"/>
    <col min="2" max="2" width="4.109375" bestFit="1" customWidth="1"/>
    <col min="3" max="3" width="7.44140625" bestFit="1" customWidth="1"/>
    <col min="4" max="4" width="8.6640625" bestFit="1" customWidth="1"/>
    <col min="5" max="5" width="9.21875" bestFit="1" customWidth="1"/>
    <col min="6" max="7" width="10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f>DATE(2026,3,23)</f>
        <v>46104</v>
      </c>
      <c r="B2">
        <v>1</v>
      </c>
      <c r="C2" t="b">
        <v>1</v>
      </c>
      <c r="D2" t="b">
        <v>1</v>
      </c>
      <c r="E2">
        <v>10000</v>
      </c>
      <c r="F2">
        <v>4</v>
      </c>
      <c r="G2">
        <f>IF(C2=TRUE,1,0)+IF(D2=TRUE,1,0)+IF(E2&gt;=10000,1,0)+IF(F2&gt;=4,1,0)</f>
        <v>4</v>
      </c>
    </row>
    <row r="3" spans="1:8" x14ac:dyDescent="0.3">
      <c r="A3" s="1">
        <f>A2+1</f>
        <v>46105</v>
      </c>
      <c r="B3">
        <v>2</v>
      </c>
      <c r="C3" t="b">
        <v>1</v>
      </c>
      <c r="D3" t="b">
        <v>1</v>
      </c>
      <c r="E3">
        <v>10000</v>
      </c>
      <c r="F3">
        <v>4.2</v>
      </c>
      <c r="G3">
        <f t="shared" ref="G3:G66" si="0">IF(C3=TRUE,1,0)+IF(D3=TRUE,1,0)+IF(E3&gt;=10000,1,0)+IF(F3&gt;=4,1,0)</f>
        <v>4</v>
      </c>
    </row>
    <row r="4" spans="1:8" x14ac:dyDescent="0.3">
      <c r="A4" s="1">
        <f t="shared" ref="A4:A67" si="1">A3+1</f>
        <v>46106</v>
      </c>
      <c r="B4">
        <v>3</v>
      </c>
      <c r="C4" t="b">
        <v>0</v>
      </c>
      <c r="D4" t="b">
        <v>1</v>
      </c>
      <c r="E4">
        <v>9500</v>
      </c>
      <c r="F4">
        <v>3.5</v>
      </c>
      <c r="G4">
        <f t="shared" si="0"/>
        <v>1</v>
      </c>
    </row>
    <row r="5" spans="1:8" x14ac:dyDescent="0.3">
      <c r="A5" s="1">
        <f t="shared" si="1"/>
        <v>46107</v>
      </c>
      <c r="B5">
        <v>4</v>
      </c>
      <c r="C5" t="b">
        <v>1</v>
      </c>
      <c r="D5" t="b">
        <v>0</v>
      </c>
      <c r="E5">
        <v>10000</v>
      </c>
      <c r="F5">
        <v>2.6</v>
      </c>
      <c r="G5">
        <f t="shared" si="0"/>
        <v>2</v>
      </c>
    </row>
    <row r="6" spans="1:8" x14ac:dyDescent="0.3">
      <c r="A6" s="1">
        <f t="shared" si="1"/>
        <v>46108</v>
      </c>
      <c r="B6">
        <v>5</v>
      </c>
      <c r="C6" t="b">
        <v>0</v>
      </c>
      <c r="D6" t="b">
        <v>1</v>
      </c>
      <c r="E6">
        <v>10000</v>
      </c>
      <c r="F6">
        <v>4.9000000000000004</v>
      </c>
      <c r="G6">
        <f t="shared" si="0"/>
        <v>3</v>
      </c>
    </row>
    <row r="7" spans="1:8" x14ac:dyDescent="0.3">
      <c r="A7" s="1">
        <f t="shared" si="1"/>
        <v>46109</v>
      </c>
      <c r="B7">
        <v>6</v>
      </c>
      <c r="C7" t="b">
        <v>1</v>
      </c>
      <c r="D7" t="b">
        <v>1</v>
      </c>
      <c r="E7">
        <v>9999</v>
      </c>
      <c r="F7">
        <v>3.3</v>
      </c>
      <c r="G7">
        <f t="shared" si="0"/>
        <v>2</v>
      </c>
    </row>
    <row r="8" spans="1:8" x14ac:dyDescent="0.3">
      <c r="A8" s="1">
        <f t="shared" si="1"/>
        <v>46110</v>
      </c>
      <c r="B8">
        <v>7</v>
      </c>
      <c r="C8" t="b">
        <v>1</v>
      </c>
      <c r="D8" t="b">
        <v>0</v>
      </c>
      <c r="E8">
        <v>10000</v>
      </c>
      <c r="F8">
        <v>3.98</v>
      </c>
      <c r="G8">
        <f t="shared" si="0"/>
        <v>2</v>
      </c>
    </row>
    <row r="9" spans="1:8" x14ac:dyDescent="0.3">
      <c r="A9" s="1">
        <f t="shared" si="1"/>
        <v>46111</v>
      </c>
      <c r="B9">
        <v>8</v>
      </c>
      <c r="C9" t="b">
        <v>1</v>
      </c>
      <c r="D9" t="b">
        <v>1</v>
      </c>
      <c r="E9">
        <v>10000</v>
      </c>
      <c r="F9">
        <v>4</v>
      </c>
      <c r="G9">
        <f t="shared" si="0"/>
        <v>4</v>
      </c>
    </row>
    <row r="10" spans="1:8" x14ac:dyDescent="0.3">
      <c r="A10" s="1">
        <f t="shared" si="1"/>
        <v>46112</v>
      </c>
      <c r="B10">
        <v>9</v>
      </c>
      <c r="C10" t="b">
        <v>0</v>
      </c>
      <c r="D10" t="b">
        <v>1</v>
      </c>
      <c r="E10">
        <v>10050</v>
      </c>
      <c r="F10">
        <v>3.8</v>
      </c>
      <c r="G10">
        <f t="shared" si="0"/>
        <v>2</v>
      </c>
    </row>
    <row r="11" spans="1:8" x14ac:dyDescent="0.3">
      <c r="A11" s="1">
        <f t="shared" si="1"/>
        <v>46113</v>
      </c>
      <c r="B11">
        <v>10</v>
      </c>
      <c r="C11" t="b">
        <v>1</v>
      </c>
      <c r="D11" t="b">
        <v>0</v>
      </c>
      <c r="E11">
        <v>9993</v>
      </c>
      <c r="F11">
        <v>4</v>
      </c>
      <c r="G11">
        <f t="shared" si="0"/>
        <v>2</v>
      </c>
    </row>
    <row r="12" spans="1:8" x14ac:dyDescent="0.3">
      <c r="A12" s="1">
        <f t="shared" si="1"/>
        <v>46114</v>
      </c>
      <c r="B12">
        <v>11</v>
      </c>
      <c r="C12" t="b">
        <v>1</v>
      </c>
      <c r="D12" t="b">
        <v>1</v>
      </c>
      <c r="E12">
        <v>10000</v>
      </c>
      <c r="F12">
        <v>4</v>
      </c>
      <c r="G12">
        <f t="shared" si="0"/>
        <v>4</v>
      </c>
    </row>
    <row r="13" spans="1:8" x14ac:dyDescent="0.3">
      <c r="A13" s="1">
        <f t="shared" si="1"/>
        <v>46115</v>
      </c>
      <c r="B13">
        <v>12</v>
      </c>
      <c r="C13" t="b">
        <v>1</v>
      </c>
      <c r="D13" t="b">
        <v>1</v>
      </c>
      <c r="E13">
        <v>6000</v>
      </c>
      <c r="F13">
        <v>3.2</v>
      </c>
      <c r="G13">
        <f t="shared" si="0"/>
        <v>2</v>
      </c>
    </row>
    <row r="14" spans="1:8" x14ac:dyDescent="0.3">
      <c r="A14" s="1">
        <f t="shared" si="1"/>
        <v>46116</v>
      </c>
      <c r="B14">
        <v>13</v>
      </c>
      <c r="C14" t="b">
        <v>0</v>
      </c>
      <c r="D14" t="b">
        <v>1</v>
      </c>
      <c r="E14">
        <v>9800</v>
      </c>
      <c r="F14">
        <v>3.3</v>
      </c>
      <c r="G14">
        <f t="shared" si="0"/>
        <v>1</v>
      </c>
    </row>
    <row r="15" spans="1:8" x14ac:dyDescent="0.3">
      <c r="A15" s="1">
        <f t="shared" si="1"/>
        <v>46117</v>
      </c>
      <c r="B15">
        <v>14</v>
      </c>
      <c r="C15" t="b">
        <v>1</v>
      </c>
      <c r="D15" t="b">
        <v>1</v>
      </c>
      <c r="E15">
        <v>10000</v>
      </c>
      <c r="F15">
        <v>4</v>
      </c>
      <c r="G15">
        <f t="shared" si="0"/>
        <v>4</v>
      </c>
    </row>
    <row r="16" spans="1:8" x14ac:dyDescent="0.3">
      <c r="A16" s="1">
        <f t="shared" si="1"/>
        <v>46118</v>
      </c>
      <c r="B16">
        <v>15</v>
      </c>
      <c r="C16" t="b">
        <v>1</v>
      </c>
      <c r="D16" t="b">
        <v>1</v>
      </c>
      <c r="E16">
        <v>12000</v>
      </c>
      <c r="F16">
        <v>5</v>
      </c>
      <c r="G16">
        <f t="shared" si="0"/>
        <v>4</v>
      </c>
    </row>
    <row r="17" spans="1:7" x14ac:dyDescent="0.3">
      <c r="A17" s="1">
        <f t="shared" si="1"/>
        <v>46119</v>
      </c>
      <c r="B17">
        <v>16</v>
      </c>
      <c r="C17" t="b">
        <v>1</v>
      </c>
      <c r="D17" t="b">
        <v>1</v>
      </c>
      <c r="E17">
        <v>5600</v>
      </c>
      <c r="F17">
        <v>6</v>
      </c>
      <c r="G17">
        <f t="shared" si="0"/>
        <v>3</v>
      </c>
    </row>
    <row r="18" spans="1:7" x14ac:dyDescent="0.3">
      <c r="A18" s="1">
        <f t="shared" si="1"/>
        <v>46120</v>
      </c>
      <c r="B18">
        <v>17</v>
      </c>
      <c r="C18" t="b">
        <v>1</v>
      </c>
      <c r="D18" t="b">
        <v>1</v>
      </c>
      <c r="E18">
        <v>10000</v>
      </c>
      <c r="F18">
        <v>4</v>
      </c>
      <c r="G18">
        <f t="shared" si="0"/>
        <v>4</v>
      </c>
    </row>
    <row r="19" spans="1:7" x14ac:dyDescent="0.3">
      <c r="A19" s="1">
        <f t="shared" si="1"/>
        <v>46121</v>
      </c>
      <c r="B19">
        <v>18</v>
      </c>
      <c r="C19" t="b">
        <v>1</v>
      </c>
      <c r="D19" t="b">
        <v>1</v>
      </c>
      <c r="E19">
        <v>9600</v>
      </c>
      <c r="F19">
        <v>1.2</v>
      </c>
      <c r="G19">
        <f t="shared" si="0"/>
        <v>2</v>
      </c>
    </row>
    <row r="20" spans="1:7" x14ac:dyDescent="0.3">
      <c r="A20" s="1">
        <f t="shared" si="1"/>
        <v>46122</v>
      </c>
      <c r="B20">
        <v>19</v>
      </c>
      <c r="C20" t="b">
        <v>1</v>
      </c>
      <c r="D20" t="b">
        <v>1</v>
      </c>
      <c r="E20">
        <v>10000</v>
      </c>
      <c r="F20">
        <v>2.2000000000000002</v>
      </c>
      <c r="G20">
        <f t="shared" si="0"/>
        <v>3</v>
      </c>
    </row>
    <row r="21" spans="1:7" x14ac:dyDescent="0.3">
      <c r="A21" s="1">
        <f t="shared" si="1"/>
        <v>46123</v>
      </c>
      <c r="B21">
        <v>20</v>
      </c>
      <c r="C21" t="b">
        <v>0</v>
      </c>
      <c r="D21" t="b">
        <v>1</v>
      </c>
      <c r="E21">
        <v>10000</v>
      </c>
      <c r="F21">
        <v>1.5</v>
      </c>
      <c r="G21">
        <f t="shared" si="0"/>
        <v>2</v>
      </c>
    </row>
    <row r="22" spans="1:7" x14ac:dyDescent="0.3">
      <c r="A22" s="1">
        <f t="shared" si="1"/>
        <v>46124</v>
      </c>
      <c r="B22">
        <v>21</v>
      </c>
      <c r="C22" t="b">
        <v>1</v>
      </c>
      <c r="D22" t="b">
        <v>1</v>
      </c>
      <c r="E22">
        <v>10000</v>
      </c>
      <c r="F22">
        <v>1.8</v>
      </c>
      <c r="G22">
        <f t="shared" si="0"/>
        <v>3</v>
      </c>
    </row>
    <row r="23" spans="1:7" x14ac:dyDescent="0.3">
      <c r="A23" s="1">
        <f t="shared" si="1"/>
        <v>46125</v>
      </c>
      <c r="B23">
        <v>22</v>
      </c>
      <c r="C23" t="b">
        <v>1</v>
      </c>
      <c r="D23" t="b">
        <v>1</v>
      </c>
      <c r="E23">
        <v>10000</v>
      </c>
      <c r="F23">
        <v>2</v>
      </c>
      <c r="G23">
        <f t="shared" si="0"/>
        <v>3</v>
      </c>
    </row>
    <row r="24" spans="1:7" x14ac:dyDescent="0.3">
      <c r="A24" s="1">
        <f t="shared" si="1"/>
        <v>46126</v>
      </c>
      <c r="B24">
        <v>23</v>
      </c>
      <c r="C24" t="b">
        <v>1</v>
      </c>
      <c r="D24" t="b">
        <v>1</v>
      </c>
      <c r="E24">
        <v>10000</v>
      </c>
      <c r="F24">
        <v>3</v>
      </c>
      <c r="G24">
        <f t="shared" si="0"/>
        <v>3</v>
      </c>
    </row>
    <row r="25" spans="1:7" x14ac:dyDescent="0.3">
      <c r="A25" s="1">
        <f t="shared" si="1"/>
        <v>46127</v>
      </c>
      <c r="B25">
        <v>24</v>
      </c>
      <c r="C25" t="b">
        <v>1</v>
      </c>
      <c r="D25" t="b">
        <v>1</v>
      </c>
      <c r="E25">
        <v>10000</v>
      </c>
      <c r="F25">
        <v>1</v>
      </c>
      <c r="G25">
        <f t="shared" si="0"/>
        <v>3</v>
      </c>
    </row>
    <row r="26" spans="1:7" x14ac:dyDescent="0.3">
      <c r="A26" s="1">
        <f t="shared" si="1"/>
        <v>46128</v>
      </c>
      <c r="B26">
        <v>25</v>
      </c>
      <c r="C26" t="b">
        <v>1</v>
      </c>
      <c r="D26" t="b">
        <v>1</v>
      </c>
      <c r="E26">
        <v>10000</v>
      </c>
      <c r="F26">
        <v>4</v>
      </c>
      <c r="G26">
        <f t="shared" si="0"/>
        <v>4</v>
      </c>
    </row>
    <row r="27" spans="1:7" x14ac:dyDescent="0.3">
      <c r="A27" s="1">
        <f t="shared" si="1"/>
        <v>46129</v>
      </c>
      <c r="B27">
        <v>26</v>
      </c>
      <c r="C27" t="b">
        <v>0</v>
      </c>
      <c r="D27" t="b">
        <v>1</v>
      </c>
      <c r="E27">
        <v>8000</v>
      </c>
      <c r="F27">
        <v>3.9</v>
      </c>
      <c r="G27">
        <f t="shared" si="0"/>
        <v>1</v>
      </c>
    </row>
    <row r="28" spans="1:7" x14ac:dyDescent="0.3">
      <c r="A28" s="1">
        <f t="shared" si="1"/>
        <v>46130</v>
      </c>
      <c r="B28">
        <v>27</v>
      </c>
      <c r="C28" t="b">
        <v>1</v>
      </c>
      <c r="D28" t="b">
        <v>1</v>
      </c>
      <c r="E28">
        <v>10000</v>
      </c>
      <c r="F28">
        <v>4</v>
      </c>
      <c r="G28">
        <f t="shared" si="0"/>
        <v>4</v>
      </c>
    </row>
    <row r="29" spans="1:7" x14ac:dyDescent="0.3">
      <c r="A29" s="1">
        <f t="shared" si="1"/>
        <v>46131</v>
      </c>
      <c r="B29">
        <v>28</v>
      </c>
      <c r="C29" t="b">
        <v>1</v>
      </c>
      <c r="D29" t="b">
        <v>1</v>
      </c>
      <c r="E29">
        <v>7500</v>
      </c>
      <c r="F29">
        <v>4.2</v>
      </c>
      <c r="G29">
        <f t="shared" si="0"/>
        <v>3</v>
      </c>
    </row>
    <row r="30" spans="1:7" x14ac:dyDescent="0.3">
      <c r="A30" s="1">
        <f t="shared" si="1"/>
        <v>46132</v>
      </c>
      <c r="B30">
        <v>29</v>
      </c>
      <c r="C30" t="b">
        <v>1</v>
      </c>
      <c r="D30" t="b">
        <v>0</v>
      </c>
      <c r="E30">
        <v>10000</v>
      </c>
      <c r="F30">
        <v>3.75</v>
      </c>
      <c r="G30">
        <f t="shared" si="0"/>
        <v>2</v>
      </c>
    </row>
    <row r="31" spans="1:7" x14ac:dyDescent="0.3">
      <c r="A31" s="1">
        <f t="shared" si="1"/>
        <v>46133</v>
      </c>
      <c r="B31">
        <v>30</v>
      </c>
      <c r="C31" t="b">
        <v>0</v>
      </c>
      <c r="D31" t="b">
        <v>1</v>
      </c>
      <c r="E31">
        <v>10000</v>
      </c>
      <c r="F31">
        <v>3</v>
      </c>
      <c r="G31">
        <f t="shared" si="0"/>
        <v>2</v>
      </c>
    </row>
    <row r="32" spans="1:7" x14ac:dyDescent="0.3">
      <c r="A32" s="1">
        <f t="shared" si="1"/>
        <v>46134</v>
      </c>
      <c r="B32">
        <v>31</v>
      </c>
      <c r="C32" t="b">
        <v>1</v>
      </c>
      <c r="D32" t="b">
        <v>1</v>
      </c>
      <c r="E32">
        <v>8500</v>
      </c>
      <c r="F32">
        <v>4</v>
      </c>
      <c r="G32">
        <f t="shared" si="0"/>
        <v>3</v>
      </c>
    </row>
    <row r="33" spans="1:7" x14ac:dyDescent="0.3">
      <c r="A33" s="1">
        <f t="shared" si="1"/>
        <v>46135</v>
      </c>
      <c r="B33">
        <v>32</v>
      </c>
      <c r="C33" t="b">
        <v>1</v>
      </c>
      <c r="D33" t="b">
        <v>1</v>
      </c>
      <c r="E33">
        <v>10000</v>
      </c>
      <c r="F33">
        <v>4</v>
      </c>
      <c r="G33">
        <f t="shared" si="0"/>
        <v>4</v>
      </c>
    </row>
    <row r="34" spans="1:7" x14ac:dyDescent="0.3">
      <c r="A34" s="1">
        <f t="shared" si="1"/>
        <v>46136</v>
      </c>
      <c r="B34">
        <v>33</v>
      </c>
      <c r="C34" t="b">
        <v>1</v>
      </c>
      <c r="D34" t="b">
        <v>1</v>
      </c>
      <c r="E34">
        <v>10000</v>
      </c>
      <c r="F34">
        <v>4</v>
      </c>
      <c r="G34">
        <f t="shared" si="0"/>
        <v>4</v>
      </c>
    </row>
    <row r="35" spans="1:7" x14ac:dyDescent="0.3">
      <c r="A35" s="1">
        <f t="shared" si="1"/>
        <v>46137</v>
      </c>
      <c r="B35">
        <v>34</v>
      </c>
      <c r="C35" t="b">
        <v>1</v>
      </c>
      <c r="D35" t="b">
        <v>1</v>
      </c>
      <c r="E35">
        <v>10000</v>
      </c>
      <c r="F35">
        <v>3.9</v>
      </c>
      <c r="G35">
        <f t="shared" si="0"/>
        <v>3</v>
      </c>
    </row>
    <row r="36" spans="1:7" x14ac:dyDescent="0.3">
      <c r="A36" s="1">
        <f t="shared" si="1"/>
        <v>46138</v>
      </c>
      <c r="B36">
        <v>35</v>
      </c>
      <c r="C36" t="b">
        <v>0</v>
      </c>
      <c r="D36" t="b">
        <v>1</v>
      </c>
      <c r="E36">
        <v>9200</v>
      </c>
      <c r="F36">
        <v>4</v>
      </c>
      <c r="G36">
        <f t="shared" si="0"/>
        <v>2</v>
      </c>
    </row>
    <row r="37" spans="1:7" x14ac:dyDescent="0.3">
      <c r="A37" s="1">
        <f t="shared" si="1"/>
        <v>46139</v>
      </c>
      <c r="B37">
        <v>36</v>
      </c>
      <c r="C37" t="b">
        <v>1</v>
      </c>
      <c r="D37" t="b">
        <v>1</v>
      </c>
      <c r="E37">
        <v>6500</v>
      </c>
      <c r="F37">
        <v>4</v>
      </c>
      <c r="G37">
        <f t="shared" si="0"/>
        <v>3</v>
      </c>
    </row>
    <row r="38" spans="1:7" x14ac:dyDescent="0.3">
      <c r="A38" s="1">
        <f t="shared" si="1"/>
        <v>46140</v>
      </c>
      <c r="B38">
        <v>37</v>
      </c>
      <c r="C38" t="b">
        <v>1</v>
      </c>
      <c r="D38" t="b">
        <v>1</v>
      </c>
      <c r="E38">
        <v>3900</v>
      </c>
      <c r="F38">
        <v>4</v>
      </c>
      <c r="G38">
        <f t="shared" si="0"/>
        <v>3</v>
      </c>
    </row>
    <row r="39" spans="1:7" x14ac:dyDescent="0.3">
      <c r="A39" s="1">
        <f t="shared" si="1"/>
        <v>46141</v>
      </c>
      <c r="B39">
        <v>38</v>
      </c>
      <c r="C39" t="b">
        <v>1</v>
      </c>
      <c r="D39" t="b">
        <v>1</v>
      </c>
      <c r="E39">
        <v>4000</v>
      </c>
      <c r="F39">
        <v>3.9</v>
      </c>
      <c r="G39">
        <f t="shared" si="0"/>
        <v>2</v>
      </c>
    </row>
    <row r="40" spans="1:7" x14ac:dyDescent="0.3">
      <c r="A40" s="1">
        <f t="shared" si="1"/>
        <v>46142</v>
      </c>
      <c r="B40">
        <v>39</v>
      </c>
      <c r="C40" t="b">
        <v>1</v>
      </c>
      <c r="D40" t="b">
        <v>0</v>
      </c>
      <c r="E40">
        <v>5000</v>
      </c>
      <c r="F40">
        <v>4</v>
      </c>
      <c r="G40">
        <f t="shared" si="0"/>
        <v>2</v>
      </c>
    </row>
    <row r="41" spans="1:7" x14ac:dyDescent="0.3">
      <c r="A41" s="1">
        <f t="shared" si="1"/>
        <v>46143</v>
      </c>
      <c r="B41">
        <v>40</v>
      </c>
      <c r="C41" t="b">
        <v>0</v>
      </c>
      <c r="D41" t="b">
        <v>0</v>
      </c>
      <c r="E41">
        <v>6000</v>
      </c>
      <c r="F41">
        <v>4</v>
      </c>
      <c r="G41">
        <f t="shared" si="0"/>
        <v>1</v>
      </c>
    </row>
    <row r="42" spans="1:7" x14ac:dyDescent="0.3">
      <c r="A42" s="1">
        <f t="shared" si="1"/>
        <v>46144</v>
      </c>
      <c r="B42">
        <v>41</v>
      </c>
      <c r="C42" t="b">
        <v>1</v>
      </c>
      <c r="D42" t="b">
        <v>1</v>
      </c>
      <c r="E42">
        <v>7500</v>
      </c>
      <c r="F42">
        <v>4</v>
      </c>
      <c r="G42">
        <f t="shared" si="0"/>
        <v>3</v>
      </c>
    </row>
    <row r="43" spans="1:7" x14ac:dyDescent="0.3">
      <c r="A43" s="1">
        <f t="shared" si="1"/>
        <v>46145</v>
      </c>
      <c r="B43">
        <v>42</v>
      </c>
      <c r="C43" t="b">
        <v>1</v>
      </c>
      <c r="D43" t="b">
        <v>1</v>
      </c>
      <c r="E43">
        <v>8500</v>
      </c>
      <c r="F43">
        <v>4</v>
      </c>
      <c r="G43">
        <f t="shared" si="0"/>
        <v>3</v>
      </c>
    </row>
    <row r="44" spans="1:7" x14ac:dyDescent="0.3">
      <c r="A44" s="1">
        <f t="shared" si="1"/>
        <v>46146</v>
      </c>
      <c r="B44">
        <v>43</v>
      </c>
      <c r="C44" t="b">
        <v>0</v>
      </c>
      <c r="D44" t="b">
        <v>1</v>
      </c>
      <c r="E44">
        <v>9200</v>
      </c>
      <c r="F44">
        <v>4</v>
      </c>
      <c r="G44">
        <f t="shared" si="0"/>
        <v>2</v>
      </c>
    </row>
    <row r="45" spans="1:7" x14ac:dyDescent="0.3">
      <c r="A45" s="1">
        <f t="shared" si="1"/>
        <v>46147</v>
      </c>
      <c r="B45">
        <v>44</v>
      </c>
      <c r="C45" t="b">
        <v>0</v>
      </c>
      <c r="D45" t="b">
        <v>1</v>
      </c>
      <c r="E45">
        <v>10000</v>
      </c>
      <c r="F45">
        <v>4</v>
      </c>
      <c r="G45">
        <f t="shared" si="0"/>
        <v>3</v>
      </c>
    </row>
    <row r="46" spans="1:7" x14ac:dyDescent="0.3">
      <c r="A46" s="1">
        <f t="shared" si="1"/>
        <v>46148</v>
      </c>
      <c r="B46">
        <v>45</v>
      </c>
      <c r="C46" t="b">
        <v>1</v>
      </c>
      <c r="D46" t="b">
        <v>1</v>
      </c>
      <c r="E46">
        <v>10000</v>
      </c>
      <c r="F46">
        <v>4</v>
      </c>
      <c r="G46">
        <f t="shared" si="0"/>
        <v>4</v>
      </c>
    </row>
    <row r="47" spans="1:7" x14ac:dyDescent="0.3">
      <c r="A47" s="1">
        <f t="shared" si="1"/>
        <v>46149</v>
      </c>
      <c r="B47">
        <v>46</v>
      </c>
      <c r="C47" t="b">
        <v>1</v>
      </c>
      <c r="D47" t="b">
        <v>1</v>
      </c>
      <c r="E47">
        <v>10000</v>
      </c>
      <c r="F47">
        <v>4</v>
      </c>
      <c r="G47">
        <f t="shared" si="0"/>
        <v>4</v>
      </c>
    </row>
    <row r="48" spans="1:7" x14ac:dyDescent="0.3">
      <c r="A48" s="1">
        <f t="shared" si="1"/>
        <v>46150</v>
      </c>
      <c r="B48">
        <v>47</v>
      </c>
      <c r="C48" t="b">
        <v>1</v>
      </c>
      <c r="D48" t="b">
        <v>1</v>
      </c>
      <c r="E48">
        <v>10000</v>
      </c>
      <c r="F48">
        <v>4</v>
      </c>
      <c r="G48">
        <f t="shared" si="0"/>
        <v>4</v>
      </c>
    </row>
    <row r="49" spans="1:7" x14ac:dyDescent="0.3">
      <c r="A49" s="1">
        <f t="shared" si="1"/>
        <v>46151</v>
      </c>
      <c r="B49">
        <v>48</v>
      </c>
      <c r="C49" t="b">
        <v>1</v>
      </c>
      <c r="D49" t="b">
        <v>0</v>
      </c>
      <c r="E49">
        <v>10000</v>
      </c>
      <c r="F49">
        <v>4</v>
      </c>
      <c r="G49">
        <f t="shared" si="0"/>
        <v>3</v>
      </c>
    </row>
    <row r="50" spans="1:7" x14ac:dyDescent="0.3">
      <c r="A50" s="1">
        <f t="shared" si="1"/>
        <v>46152</v>
      </c>
      <c r="B50">
        <v>49</v>
      </c>
      <c r="C50" t="b">
        <v>1</v>
      </c>
      <c r="D50" t="b">
        <v>1</v>
      </c>
      <c r="E50">
        <v>10000</v>
      </c>
      <c r="F50">
        <v>4</v>
      </c>
      <c r="G50">
        <f t="shared" si="0"/>
        <v>4</v>
      </c>
    </row>
    <row r="51" spans="1:7" x14ac:dyDescent="0.3">
      <c r="A51" s="1">
        <f t="shared" si="1"/>
        <v>46153</v>
      </c>
      <c r="B51">
        <v>50</v>
      </c>
      <c r="C51" t="b">
        <v>1</v>
      </c>
      <c r="D51" t="b">
        <v>0</v>
      </c>
      <c r="E51">
        <v>10000</v>
      </c>
      <c r="F51">
        <v>4</v>
      </c>
      <c r="G51">
        <f t="shared" si="0"/>
        <v>3</v>
      </c>
    </row>
    <row r="52" spans="1:7" x14ac:dyDescent="0.3">
      <c r="A52" s="1">
        <f t="shared" si="1"/>
        <v>46154</v>
      </c>
      <c r="B52">
        <v>51</v>
      </c>
      <c r="C52" t="b">
        <v>1</v>
      </c>
      <c r="D52" t="b">
        <v>1</v>
      </c>
      <c r="E52">
        <v>10000</v>
      </c>
      <c r="F52">
        <v>4</v>
      </c>
      <c r="G52">
        <f t="shared" si="0"/>
        <v>4</v>
      </c>
    </row>
    <row r="53" spans="1:7" x14ac:dyDescent="0.3">
      <c r="A53" s="1">
        <f t="shared" si="1"/>
        <v>46155</v>
      </c>
      <c r="B53">
        <v>52</v>
      </c>
      <c r="C53" t="b">
        <v>1</v>
      </c>
      <c r="D53" t="b">
        <v>1</v>
      </c>
      <c r="E53">
        <v>10000</v>
      </c>
      <c r="F53">
        <v>4</v>
      </c>
      <c r="G53">
        <f t="shared" si="0"/>
        <v>4</v>
      </c>
    </row>
    <row r="54" spans="1:7" x14ac:dyDescent="0.3">
      <c r="A54" s="1">
        <f t="shared" si="1"/>
        <v>46156</v>
      </c>
      <c r="B54">
        <v>53</v>
      </c>
      <c r="C54" t="b">
        <v>1</v>
      </c>
      <c r="D54" t="b">
        <v>1</v>
      </c>
      <c r="E54">
        <v>10000</v>
      </c>
      <c r="F54">
        <v>4</v>
      </c>
      <c r="G54">
        <f t="shared" si="0"/>
        <v>4</v>
      </c>
    </row>
    <row r="55" spans="1:7" x14ac:dyDescent="0.3">
      <c r="A55" s="1">
        <f t="shared" si="1"/>
        <v>46157</v>
      </c>
      <c r="B55">
        <v>54</v>
      </c>
      <c r="C55" t="b">
        <v>1</v>
      </c>
      <c r="D55" t="b">
        <v>1</v>
      </c>
      <c r="E55">
        <v>10000</v>
      </c>
      <c r="F55">
        <v>4</v>
      </c>
      <c r="G55">
        <f t="shared" si="0"/>
        <v>4</v>
      </c>
    </row>
    <row r="56" spans="1:7" x14ac:dyDescent="0.3">
      <c r="A56" s="1">
        <f t="shared" si="1"/>
        <v>46158</v>
      </c>
      <c r="B56">
        <v>55</v>
      </c>
      <c r="C56" t="b">
        <v>1</v>
      </c>
      <c r="D56" t="b">
        <v>1</v>
      </c>
      <c r="E56">
        <v>10000</v>
      </c>
      <c r="F56">
        <v>4</v>
      </c>
      <c r="G56">
        <f t="shared" si="0"/>
        <v>4</v>
      </c>
    </row>
    <row r="57" spans="1:7" x14ac:dyDescent="0.3">
      <c r="A57" s="1">
        <f t="shared" si="1"/>
        <v>46159</v>
      </c>
      <c r="B57">
        <v>56</v>
      </c>
      <c r="C57" t="b">
        <v>0</v>
      </c>
      <c r="D57" t="b">
        <v>1</v>
      </c>
      <c r="E57">
        <v>10000</v>
      </c>
      <c r="F57">
        <v>4</v>
      </c>
      <c r="G57">
        <f t="shared" si="0"/>
        <v>3</v>
      </c>
    </row>
    <row r="58" spans="1:7" x14ac:dyDescent="0.3">
      <c r="A58" s="1">
        <f t="shared" si="1"/>
        <v>46160</v>
      </c>
      <c r="B58">
        <v>57</v>
      </c>
      <c r="C58" t="b">
        <v>1</v>
      </c>
      <c r="D58" t="b">
        <v>1</v>
      </c>
      <c r="E58">
        <v>10000</v>
      </c>
      <c r="F58">
        <v>3.9</v>
      </c>
      <c r="G58">
        <f t="shared" si="0"/>
        <v>3</v>
      </c>
    </row>
    <row r="59" spans="1:7" x14ac:dyDescent="0.3">
      <c r="A59" s="1">
        <f t="shared" si="1"/>
        <v>46161</v>
      </c>
      <c r="B59">
        <v>58</v>
      </c>
      <c r="C59" t="b">
        <v>1</v>
      </c>
      <c r="D59" t="b">
        <v>1</v>
      </c>
      <c r="E59">
        <v>10000</v>
      </c>
      <c r="F59">
        <v>4</v>
      </c>
      <c r="G59">
        <f t="shared" si="0"/>
        <v>4</v>
      </c>
    </row>
    <row r="60" spans="1:7" x14ac:dyDescent="0.3">
      <c r="A60" s="1">
        <f t="shared" si="1"/>
        <v>46162</v>
      </c>
      <c r="B60">
        <v>59</v>
      </c>
      <c r="C60" t="b">
        <v>1</v>
      </c>
      <c r="D60" t="b">
        <v>1</v>
      </c>
      <c r="E60">
        <v>10000</v>
      </c>
      <c r="F60">
        <v>4</v>
      </c>
      <c r="G60">
        <f t="shared" si="0"/>
        <v>4</v>
      </c>
    </row>
    <row r="61" spans="1:7" x14ac:dyDescent="0.3">
      <c r="A61" s="1">
        <f t="shared" si="1"/>
        <v>46163</v>
      </c>
      <c r="B61">
        <v>60</v>
      </c>
      <c r="C61" t="b">
        <v>1</v>
      </c>
      <c r="D61" t="b">
        <v>1</v>
      </c>
      <c r="E61">
        <v>10000</v>
      </c>
      <c r="F61">
        <v>4</v>
      </c>
      <c r="G61">
        <f t="shared" si="0"/>
        <v>4</v>
      </c>
    </row>
    <row r="62" spans="1:7" x14ac:dyDescent="0.3">
      <c r="A62" s="1">
        <f t="shared" si="1"/>
        <v>46164</v>
      </c>
      <c r="B62">
        <v>61</v>
      </c>
      <c r="C62" t="b">
        <v>1</v>
      </c>
      <c r="D62" t="b">
        <v>1</v>
      </c>
      <c r="E62">
        <v>10000</v>
      </c>
      <c r="F62">
        <v>4</v>
      </c>
      <c r="G62">
        <f t="shared" si="0"/>
        <v>4</v>
      </c>
    </row>
    <row r="63" spans="1:7" x14ac:dyDescent="0.3">
      <c r="A63" s="1">
        <f t="shared" si="1"/>
        <v>46165</v>
      </c>
      <c r="B63">
        <v>62</v>
      </c>
      <c r="C63" t="b">
        <v>1</v>
      </c>
      <c r="D63" t="b">
        <v>1</v>
      </c>
      <c r="E63">
        <v>10000</v>
      </c>
      <c r="F63">
        <v>4</v>
      </c>
      <c r="G63">
        <f t="shared" si="0"/>
        <v>4</v>
      </c>
    </row>
    <row r="64" spans="1:7" x14ac:dyDescent="0.3">
      <c r="A64" s="1">
        <f t="shared" si="1"/>
        <v>46166</v>
      </c>
      <c r="B64">
        <v>63</v>
      </c>
      <c r="C64" t="b">
        <v>1</v>
      </c>
      <c r="D64" t="b">
        <v>1</v>
      </c>
      <c r="E64">
        <v>10000</v>
      </c>
      <c r="F64">
        <v>3.9</v>
      </c>
      <c r="G64">
        <f t="shared" si="0"/>
        <v>3</v>
      </c>
    </row>
    <row r="65" spans="1:7" x14ac:dyDescent="0.3">
      <c r="A65" s="1">
        <f t="shared" si="1"/>
        <v>46167</v>
      </c>
      <c r="B65">
        <v>64</v>
      </c>
      <c r="C65" t="b">
        <v>1</v>
      </c>
      <c r="D65" t="b">
        <v>1</v>
      </c>
      <c r="E65">
        <v>10000</v>
      </c>
      <c r="F65">
        <v>3.8</v>
      </c>
      <c r="G65">
        <f t="shared" si="0"/>
        <v>3</v>
      </c>
    </row>
    <row r="66" spans="1:7" x14ac:dyDescent="0.3">
      <c r="A66" s="1">
        <f t="shared" si="1"/>
        <v>46168</v>
      </c>
      <c r="B66">
        <v>65</v>
      </c>
      <c r="C66" t="b">
        <v>1</v>
      </c>
      <c r="D66" t="b">
        <v>1</v>
      </c>
      <c r="E66">
        <v>10000</v>
      </c>
      <c r="F66">
        <v>4</v>
      </c>
      <c r="G66">
        <f t="shared" si="0"/>
        <v>4</v>
      </c>
    </row>
    <row r="67" spans="1:7" x14ac:dyDescent="0.3">
      <c r="A67" s="1">
        <f t="shared" si="1"/>
        <v>46169</v>
      </c>
      <c r="B67">
        <v>66</v>
      </c>
      <c r="C67" t="b">
        <v>1</v>
      </c>
      <c r="D67" t="b">
        <v>1</v>
      </c>
      <c r="E67">
        <v>10000</v>
      </c>
      <c r="F67">
        <v>4</v>
      </c>
      <c r="G67">
        <f t="shared" ref="G67:G76" si="2">IF(C67=TRUE,1,0)+IF(D67=TRUE,1,0)+IF(E67&gt;=10000,1,0)+IF(F67&gt;=4,1,0)</f>
        <v>4</v>
      </c>
    </row>
    <row r="68" spans="1:7" x14ac:dyDescent="0.3">
      <c r="A68" s="1">
        <f t="shared" ref="A68:A76" si="3">A67+1</f>
        <v>46170</v>
      </c>
      <c r="B68">
        <v>67</v>
      </c>
      <c r="C68" t="b">
        <f>TRUE</f>
        <v>1</v>
      </c>
      <c r="D68" t="b">
        <v>1</v>
      </c>
      <c r="E68">
        <v>10000</v>
      </c>
      <c r="F68">
        <v>4</v>
      </c>
      <c r="G68">
        <f t="shared" si="2"/>
        <v>4</v>
      </c>
    </row>
    <row r="69" spans="1:7" x14ac:dyDescent="0.3">
      <c r="A69" s="1">
        <f t="shared" si="3"/>
        <v>46171</v>
      </c>
      <c r="B69">
        <v>68</v>
      </c>
      <c r="C69" t="b">
        <v>1</v>
      </c>
      <c r="D69" t="b">
        <v>1</v>
      </c>
      <c r="E69">
        <v>10000</v>
      </c>
      <c r="F69">
        <v>3.6</v>
      </c>
      <c r="G69">
        <f t="shared" si="2"/>
        <v>3</v>
      </c>
    </row>
    <row r="70" spans="1:7" x14ac:dyDescent="0.3">
      <c r="A70" s="1">
        <f t="shared" si="3"/>
        <v>46172</v>
      </c>
      <c r="B70">
        <v>69</v>
      </c>
      <c r="C70" t="b">
        <v>1</v>
      </c>
      <c r="D70" t="b">
        <v>1</v>
      </c>
      <c r="E70">
        <v>10000</v>
      </c>
      <c r="F70">
        <v>4</v>
      </c>
      <c r="G70">
        <f t="shared" si="2"/>
        <v>4</v>
      </c>
    </row>
    <row r="71" spans="1:7" x14ac:dyDescent="0.3">
      <c r="A71" s="1">
        <f t="shared" si="3"/>
        <v>46173</v>
      </c>
      <c r="B71">
        <v>70</v>
      </c>
      <c r="C71" t="b">
        <v>1</v>
      </c>
      <c r="D71" t="b">
        <v>1</v>
      </c>
      <c r="E71">
        <v>10000</v>
      </c>
      <c r="F71">
        <v>3</v>
      </c>
      <c r="G71">
        <f t="shared" si="2"/>
        <v>3</v>
      </c>
    </row>
    <row r="72" spans="1:7" x14ac:dyDescent="0.3">
      <c r="A72" s="1">
        <f t="shared" si="3"/>
        <v>46174</v>
      </c>
      <c r="B72">
        <v>71</v>
      </c>
      <c r="C72" t="b">
        <v>1</v>
      </c>
      <c r="D72" t="b">
        <v>1</v>
      </c>
      <c r="E72">
        <v>10000</v>
      </c>
      <c r="F72">
        <v>4</v>
      </c>
      <c r="G72">
        <f t="shared" si="2"/>
        <v>4</v>
      </c>
    </row>
    <row r="73" spans="1:7" x14ac:dyDescent="0.3">
      <c r="A73" s="1">
        <f t="shared" si="3"/>
        <v>46175</v>
      </c>
      <c r="B73">
        <v>72</v>
      </c>
      <c r="C73" t="b">
        <v>1</v>
      </c>
      <c r="D73" t="b">
        <v>1</v>
      </c>
      <c r="E73">
        <v>10000</v>
      </c>
      <c r="F73">
        <v>2.2999999999999998</v>
      </c>
      <c r="G73">
        <f t="shared" si="2"/>
        <v>3</v>
      </c>
    </row>
    <row r="74" spans="1:7" x14ac:dyDescent="0.3">
      <c r="A74" s="1">
        <f t="shared" si="3"/>
        <v>46176</v>
      </c>
      <c r="B74">
        <v>73</v>
      </c>
      <c r="C74" t="b">
        <v>1</v>
      </c>
      <c r="D74" t="b">
        <v>1</v>
      </c>
      <c r="E74">
        <v>10000</v>
      </c>
      <c r="F74">
        <v>4</v>
      </c>
      <c r="G74">
        <f t="shared" si="2"/>
        <v>4</v>
      </c>
    </row>
    <row r="75" spans="1:7" x14ac:dyDescent="0.3">
      <c r="A75" s="1">
        <f t="shared" si="3"/>
        <v>46177</v>
      </c>
      <c r="B75">
        <v>74</v>
      </c>
      <c r="C75" t="b">
        <v>1</v>
      </c>
      <c r="D75" t="b">
        <v>1</v>
      </c>
      <c r="E75">
        <v>10000</v>
      </c>
      <c r="F75">
        <v>4</v>
      </c>
      <c r="G75">
        <f t="shared" si="2"/>
        <v>4</v>
      </c>
    </row>
    <row r="76" spans="1:7" x14ac:dyDescent="0.3">
      <c r="A76" s="1">
        <f t="shared" si="3"/>
        <v>46178</v>
      </c>
      <c r="B76">
        <v>75</v>
      </c>
      <c r="C76" t="b">
        <v>1</v>
      </c>
      <c r="D76" t="b">
        <v>1</v>
      </c>
      <c r="E76">
        <v>10000</v>
      </c>
      <c r="F76">
        <v>4</v>
      </c>
      <c r="G76">
        <f t="shared" si="2"/>
        <v>4</v>
      </c>
    </row>
    <row r="77" spans="1:7" x14ac:dyDescent="0.3">
      <c r="A77" s="1"/>
    </row>
  </sheetData>
  <conditionalFormatting sqref="C2:D76">
    <cfRule type="cellIs" dxfId="13" priority="14" operator="equal">
      <formula>FALSE</formula>
    </cfRule>
    <cfRule type="cellIs" dxfId="12" priority="15" operator="equal">
      <formula>TRUE</formula>
    </cfRule>
  </conditionalFormatting>
  <conditionalFormatting sqref="E2:E76">
    <cfRule type="cellIs" dxfId="11" priority="10" operator="lessThan">
      <formula>5000</formula>
    </cfRule>
    <cfRule type="cellIs" dxfId="10" priority="11" operator="between">
      <formula>7000</formula>
      <formula>9999</formula>
    </cfRule>
    <cfRule type="cellIs" dxfId="9" priority="12" operator="greaterThanOrEqual">
      <formula>10000</formula>
    </cfRule>
    <cfRule type="cellIs" priority="13" operator="greaterThanOrEqual">
      <formula>10000</formula>
    </cfRule>
  </conditionalFormatting>
  <conditionalFormatting sqref="F2:F76">
    <cfRule type="cellIs" dxfId="8" priority="6" operator="lessThan">
      <formula>2</formula>
    </cfRule>
    <cfRule type="cellIs" dxfId="7" priority="7" operator="between">
      <formula>2</formula>
      <formula>2.99</formula>
    </cfRule>
    <cfRule type="cellIs" dxfId="6" priority="8" operator="between">
      <formula>3</formula>
      <formula>3.99</formula>
    </cfRule>
    <cfRule type="cellIs" dxfId="5" priority="9" operator="equal">
      <formula>4</formula>
    </cfRule>
  </conditionalFormatting>
  <conditionalFormatting sqref="G2:G76">
    <cfRule type="cellIs" dxfId="4" priority="1" operator="equal">
      <formula>0</formula>
    </cfRule>
    <cfRule type="cellIs" dxfId="3" priority="2" operator="equal">
      <formula>1</formula>
    </cfRule>
    <cfRule type="cellIs" dxfId="2" priority="3" operator="equal">
      <formula>2</formula>
    </cfRule>
    <cfRule type="cellIs" dxfId="1" priority="4" operator="equal">
      <formula>3</formula>
    </cfRule>
    <cfRule type="cellIs" dxfId="0" priority="5" operator="equal">
      <formula>4</formula>
    </cfRule>
  </conditionalFormatting>
  <dataValidations count="1">
    <dataValidation type="list" allowBlank="1" showInputMessage="1" showErrorMessage="1" sqref="C2:D77" xr:uid="{3D16E1BD-7547-477F-A864-CEFB42E543D5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AE1F-CF31-441F-8358-3F91169680B8}">
  <dimension ref="A1:W60"/>
  <sheetViews>
    <sheetView showGridLines="0" zoomScale="70" zoomScaleNormal="70" workbookViewId="0">
      <selection activeCell="A23" sqref="A23"/>
    </sheetView>
  </sheetViews>
  <sheetFormatPr defaultRowHeight="14.4" x14ac:dyDescent="0.3"/>
  <cols>
    <col min="1" max="1" width="3.77734375" customWidth="1"/>
    <col min="2" max="2" width="18.77734375" customWidth="1"/>
    <col min="3" max="23" width="12.77734375" customWidth="1"/>
  </cols>
  <sheetData>
    <row r="1" spans="1:23" ht="22.05" customHeight="1" x14ac:dyDescent="0.3">
      <c r="A1" s="6" t="s">
        <v>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22.0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22.0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22.0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22.0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22.05" customHeight="1" x14ac:dyDescent="0.3"/>
    <row r="7" spans="1:23" ht="22.05" customHeight="1" x14ac:dyDescent="0.3">
      <c r="B7" s="3"/>
    </row>
    <row r="8" spans="1:23" ht="22.05" customHeight="1" x14ac:dyDescent="0.3">
      <c r="B8" s="3"/>
    </row>
    <row r="9" spans="1:23" ht="22.05" customHeight="1" x14ac:dyDescent="0.3">
      <c r="B9" s="3"/>
    </row>
    <row r="10" spans="1:23" ht="22.05" customHeight="1" x14ac:dyDescent="0.3">
      <c r="B10" s="3"/>
    </row>
    <row r="11" spans="1:23" ht="22.05" customHeight="1" x14ac:dyDescent="0.3"/>
    <row r="12" spans="1:23" ht="22.05" customHeight="1" x14ac:dyDescent="0.3"/>
    <row r="13" spans="1:23" ht="22.05" customHeight="1" x14ac:dyDescent="0.3"/>
    <row r="14" spans="1:23" ht="22.05" customHeight="1" x14ac:dyDescent="0.3"/>
    <row r="15" spans="1:23" ht="22.05" customHeight="1" x14ac:dyDescent="0.3"/>
    <row r="16" spans="1:23" ht="22.05" customHeight="1" x14ac:dyDescent="0.3"/>
    <row r="17" ht="22.05" customHeight="1" x14ac:dyDescent="0.3"/>
    <row r="18" ht="22.05" customHeight="1" x14ac:dyDescent="0.3"/>
    <row r="19" ht="22.05" customHeight="1" x14ac:dyDescent="0.3"/>
    <row r="20" ht="22.05" customHeight="1" x14ac:dyDescent="0.3"/>
    <row r="21" ht="22.05" customHeight="1" x14ac:dyDescent="0.3"/>
    <row r="22" ht="22.05" customHeight="1" x14ac:dyDescent="0.3"/>
    <row r="23" ht="22.05" customHeight="1" x14ac:dyDescent="0.3"/>
    <row r="24" ht="22.05" customHeight="1" x14ac:dyDescent="0.3"/>
    <row r="25" ht="22.05" customHeight="1" x14ac:dyDescent="0.3"/>
    <row r="26" ht="22.05" customHeight="1" x14ac:dyDescent="0.3"/>
    <row r="27" ht="22.05" customHeight="1" x14ac:dyDescent="0.3"/>
    <row r="28" ht="22.05" customHeight="1" x14ac:dyDescent="0.3"/>
    <row r="29" ht="22.05" customHeight="1" x14ac:dyDescent="0.3"/>
    <row r="30" ht="22.05" customHeight="1" x14ac:dyDescent="0.3"/>
    <row r="31" ht="22.05" customHeight="1" x14ac:dyDescent="0.3"/>
    <row r="32" ht="22.05" customHeight="1" x14ac:dyDescent="0.3"/>
    <row r="33" ht="22.05" customHeight="1" x14ac:dyDescent="0.3"/>
    <row r="34" ht="22.05" customHeight="1" x14ac:dyDescent="0.3"/>
    <row r="35" ht="22.05" customHeight="1" x14ac:dyDescent="0.3"/>
    <row r="36" ht="22.05" customHeight="1" x14ac:dyDescent="0.3"/>
    <row r="37" ht="22.05" customHeight="1" x14ac:dyDescent="0.3"/>
    <row r="38" ht="22.05" customHeight="1" x14ac:dyDescent="0.3"/>
    <row r="39" ht="22.05" customHeight="1" x14ac:dyDescent="0.3"/>
    <row r="40" ht="22.05" customHeight="1" x14ac:dyDescent="0.3"/>
    <row r="41" ht="22.05" customHeight="1" x14ac:dyDescent="0.3"/>
    <row r="42" ht="22.05" customHeight="1" x14ac:dyDescent="0.3"/>
    <row r="43" ht="22.05" customHeight="1" x14ac:dyDescent="0.3"/>
    <row r="44" ht="22.05" customHeight="1" x14ac:dyDescent="0.3"/>
    <row r="45" ht="22.05" customHeight="1" x14ac:dyDescent="0.3"/>
    <row r="46" ht="22.05" customHeight="1" x14ac:dyDescent="0.3"/>
    <row r="47" ht="22.05" customHeight="1" x14ac:dyDescent="0.3"/>
    <row r="48" ht="22.05" customHeight="1" x14ac:dyDescent="0.3"/>
    <row r="49" ht="22.05" customHeight="1" x14ac:dyDescent="0.3"/>
    <row r="50" ht="22.05" customHeight="1" x14ac:dyDescent="0.3"/>
    <row r="51" ht="22.05" customHeight="1" x14ac:dyDescent="0.3"/>
    <row r="52" ht="22.05" customHeight="1" x14ac:dyDescent="0.3"/>
    <row r="53" ht="22.05" customHeight="1" x14ac:dyDescent="0.3"/>
    <row r="54" ht="22.05" customHeight="1" x14ac:dyDescent="0.3"/>
    <row r="55" ht="22.05" customHeight="1" x14ac:dyDescent="0.3"/>
    <row r="56" ht="22.05" customHeight="1" x14ac:dyDescent="0.3"/>
    <row r="57" ht="22.05" customHeight="1" x14ac:dyDescent="0.3"/>
    <row r="58" ht="22.05" customHeight="1" x14ac:dyDescent="0.3"/>
    <row r="59" ht="22.05" customHeight="1" x14ac:dyDescent="0.3"/>
    <row r="60" ht="22.05" customHeight="1" x14ac:dyDescent="0.3"/>
  </sheetData>
  <mergeCells count="1">
    <mergeCell ref="A1:W5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5DA5-C12A-4C0B-8431-995AB4C9B316}">
  <dimension ref="A1:R15"/>
  <sheetViews>
    <sheetView workbookViewId="0">
      <selection activeCell="R6" sqref="R6"/>
    </sheetView>
  </sheetViews>
  <sheetFormatPr defaultRowHeight="14.4" x14ac:dyDescent="0.3"/>
  <cols>
    <col min="1" max="1" width="15.6640625" bestFit="1" customWidth="1"/>
    <col min="6" max="6" width="9" customWidth="1"/>
    <col min="17" max="17" width="11.5546875" bestFit="1" customWidth="1"/>
    <col min="18" max="18" width="17.5546875" bestFit="1" customWidth="1"/>
  </cols>
  <sheetData>
    <row r="1" spans="1:18" x14ac:dyDescent="0.3">
      <c r="C1" t="s">
        <v>2</v>
      </c>
      <c r="D1">
        <f>COUNTIF('Daily Tracker'!C:C,TRUE)</f>
        <v>63</v>
      </c>
      <c r="G1" t="s">
        <v>14</v>
      </c>
      <c r="H1" t="s">
        <v>15</v>
      </c>
      <c r="M1" t="s">
        <v>16</v>
      </c>
      <c r="N1" t="s">
        <v>17</v>
      </c>
      <c r="Q1" s="2" t="s">
        <v>29</v>
      </c>
      <c r="R1" s="2" t="s">
        <v>30</v>
      </c>
    </row>
    <row r="2" spans="1:18" x14ac:dyDescent="0.3">
      <c r="A2" t="s">
        <v>8</v>
      </c>
      <c r="C2" t="s">
        <v>13</v>
      </c>
      <c r="D2">
        <f>COUNTIF('Daily Tracker'!D2:D76,TRUE)</f>
        <v>67</v>
      </c>
      <c r="G2">
        <v>0</v>
      </c>
      <c r="H2">
        <f>COUNTIF('Daily Tracker'!G2:G76,0)</f>
        <v>0</v>
      </c>
      <c r="M2" t="s">
        <v>18</v>
      </c>
      <c r="N2">
        <f>AVERAGE('Daily Tracker'!G2:G8)</f>
        <v>2.5714285714285716</v>
      </c>
      <c r="Q2" t="s">
        <v>31</v>
      </c>
      <c r="R2" t="str">
        <f>INDEX(C1:C4,MATCH(MAX(D1:D4),D1:D4,0))</f>
        <v>Teachinal</v>
      </c>
    </row>
    <row r="3" spans="1:18" x14ac:dyDescent="0.3">
      <c r="A3">
        <f>COUNTIF('Daily Tracker'!G2:G76,"&gt;0")</f>
        <v>75</v>
      </c>
      <c r="C3" t="s">
        <v>12</v>
      </c>
      <c r="D3">
        <f>COUNTIF('Daily Tracker'!E2:E76,"=10000")</f>
        <v>54</v>
      </c>
      <c r="G3">
        <v>1</v>
      </c>
      <c r="H3">
        <f>COUNTIF('Daily Tracker'!G2:G76,1)</f>
        <v>4</v>
      </c>
      <c r="M3" t="s">
        <v>19</v>
      </c>
      <c r="N3">
        <f>AVERAGE('Daily Tracker'!G9:G15)</f>
        <v>2.7142857142857144</v>
      </c>
      <c r="Q3" t="s">
        <v>32</v>
      </c>
      <c r="R3" t="str">
        <f>IF(A3&lt;25,"Getting Started",
IF(A3&lt;50,"Building Momentum",
IF(A3&lt;75,"Almost There","Challenge Complete")))</f>
        <v>Challenge Complete</v>
      </c>
    </row>
    <row r="4" spans="1:18" x14ac:dyDescent="0.3">
      <c r="C4" t="s">
        <v>5</v>
      </c>
      <c r="D4">
        <f>COUNTIF('Daily Tracker'!F2:F76,"=4")</f>
        <v>45</v>
      </c>
      <c r="G4">
        <v>2</v>
      </c>
      <c r="H4">
        <f>COUNTIF('Daily Tracker'!G2:G76,2)</f>
        <v>14</v>
      </c>
      <c r="M4" t="s">
        <v>20</v>
      </c>
      <c r="N4">
        <f>AVERAGE('Daily Tracker'!G16:G22)</f>
        <v>3</v>
      </c>
      <c r="Q4" t="s">
        <v>33</v>
      </c>
      <c r="R4" t="str">
        <f>IF(A9&gt;=3,"Outstanding",
IF(A9&gt;=2,"Good",
IF(A9&gt;=1,"Improving","Needs Focus")))</f>
        <v>Outstanding</v>
      </c>
    </row>
    <row r="5" spans="1:18" x14ac:dyDescent="0.3">
      <c r="A5" t="s">
        <v>9</v>
      </c>
      <c r="G5">
        <v>3</v>
      </c>
      <c r="H5">
        <f>COUNTIF('Daily Tracker'!G2:G76,3)</f>
        <v>24</v>
      </c>
      <c r="M5" t="s">
        <v>21</v>
      </c>
      <c r="N5">
        <f>AVERAGE('Daily Tracker'!G23:G30)</f>
        <v>2.875</v>
      </c>
      <c r="Q5" t="s">
        <v>34</v>
      </c>
      <c r="R5" t="str">
        <f>IF(A12&lt;25%,"Early Stage",
IF(A12&lt;50%,"On Track",
IF(A12&lt;75%,"Strong Progress","Near Finish")))</f>
        <v>Near Finish</v>
      </c>
    </row>
    <row r="6" spans="1:18" x14ac:dyDescent="0.3">
      <c r="A6">
        <f>COUNTIF('Daily Tracker'!G2:G76,"=4")</f>
        <v>33</v>
      </c>
      <c r="G6">
        <v>4</v>
      </c>
      <c r="H6">
        <f>COUNTIF('Daily Tracker'!G2:G76,4)</f>
        <v>33</v>
      </c>
      <c r="M6" t="s">
        <v>22</v>
      </c>
      <c r="N6">
        <f>AVERAGE('Daily Tracker'!G32:G38)</f>
        <v>3.1428571428571428</v>
      </c>
    </row>
    <row r="7" spans="1:18" x14ac:dyDescent="0.3">
      <c r="M7" t="s">
        <v>23</v>
      </c>
      <c r="N7">
        <f>AVERAGE('Daily Tracker'!G39:G45)</f>
        <v>2.2857142857142856</v>
      </c>
    </row>
    <row r="8" spans="1:18" x14ac:dyDescent="0.3">
      <c r="A8" t="s">
        <v>10</v>
      </c>
      <c r="M8" t="s">
        <v>24</v>
      </c>
      <c r="N8">
        <f>AVERAGE('Daily Tracker'!G46:G52)</f>
        <v>3.7142857142857144</v>
      </c>
    </row>
    <row r="9" spans="1:18" x14ac:dyDescent="0.3">
      <c r="A9" s="5">
        <f>AVERAGE('Daily Tracker'!G2:G76)</f>
        <v>3.1466666666666665</v>
      </c>
      <c r="M9" t="s">
        <v>25</v>
      </c>
      <c r="N9">
        <f>AVERAGE('Daily Tracker'!G53:G60)</f>
        <v>3.75</v>
      </c>
    </row>
    <row r="10" spans="1:18" x14ac:dyDescent="0.3">
      <c r="M10" t="s">
        <v>26</v>
      </c>
      <c r="N10">
        <f>AVERAGE('Daily Tracker'!G60:G66)</f>
        <v>3.7142857142857144</v>
      </c>
    </row>
    <row r="11" spans="1:18" x14ac:dyDescent="0.3">
      <c r="A11" t="s">
        <v>11</v>
      </c>
      <c r="M11" t="s">
        <v>27</v>
      </c>
      <c r="N11">
        <f>AVERAGE('Daily Tracker'!G67:G73)</f>
        <v>3.5714285714285716</v>
      </c>
    </row>
    <row r="12" spans="1:18" x14ac:dyDescent="0.3">
      <c r="A12" s="4">
        <f>SUM('Daily Tracker'!G2:G76)/300</f>
        <v>0.78666666666666663</v>
      </c>
      <c r="M12" t="s">
        <v>28</v>
      </c>
      <c r="N12">
        <f>AVERAGE('Daily Tracker'!G74:G76)</f>
        <v>4</v>
      </c>
    </row>
    <row r="15" spans="1:18" x14ac:dyDescent="0.3">
      <c r="A15" s="1">
        <f ca="1">TODAY()</f>
        <v>46198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Tracker</vt:lpstr>
      <vt:lpstr>Dashboard</vt:lpstr>
      <vt:lpstr>KPI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Polakonda</dc:creator>
  <cp:lastModifiedBy>Yashaswini Polakonda</cp:lastModifiedBy>
  <dcterms:created xsi:type="dcterms:W3CDTF">2026-06-22T06:50:56Z</dcterms:created>
  <dcterms:modified xsi:type="dcterms:W3CDTF">2026-06-25T14:13:29Z</dcterms:modified>
</cp:coreProperties>
</file>